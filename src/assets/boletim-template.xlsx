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83b4da9d6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" sheetId="1" r:id="R065974291cf844a6"/>
    <x:sheet xmlns:r="http://schemas.openxmlformats.org/officeDocument/2006/relationships" name="Boletim" sheetId="2" r:id="R9015601d01d84362"/>
    <x:sheet xmlns:r="http://schemas.openxmlformats.org/officeDocument/2006/relationships" name="Base e Cálculos" sheetId="3" r:id="R747793b8c43c4446"/>
    <x:sheet xmlns:r="http://schemas.openxmlformats.org/officeDocument/2006/relationships" name="Snapshot" sheetId="4" r:id="R44a4657b3f7648e3"/>
    <x:sheet xmlns:r="http://schemas.openxmlformats.org/officeDocument/2006/relationships" name="Painel Executivo" sheetId="5" r:id="Rf0675cd572f54370"/>
  </x:sheets>
</x:workbook>
</file>

<file path=xl/sharedStrings.xml><?xml version="1.0" encoding="utf-8"?>
<x:sst xmlns:x="http://schemas.openxmlformats.org/spreadsheetml/2006/main">
  <x:si>
    <x:t xml:space="preserve">S O L V   C O N S T R U T O R A</x:t>
  </x:si>
  <x:si>
    <x:t xml:space="preserve">◤ EXCELÊNCIA EM CONSTRUÇÃO CIVIL ◢</x:t>
  </x:si>
  <x:si>
    <x:t xml:space="preserve">◈ BM-01</x:t>
  </x:si>
  <x:si>
    <x:t xml:space="preserve">— → —</x:t>
  </x:si>
  <x:si>
    <x:t xml:space="preserve">EMISSÃO · 01/07/2026</x:t>
  </x:si>
  <x:si>
    <x:t xml:space="preserve">OBRA</x:t>
  </x:si>
  <x:si>
    <x:t xml:space="preserve">CLIENTE / CONTRATANTE</x:t>
  </x:si>
  <x:si>
    <x:t xml:space="preserve">CNPJ CONTRATANTE</x:t>
  </x:si>
  <x:si>
    <x:t xml:space="preserve">ENDEREÇO DA OBRA</x:t>
  </x:si>
  <x:si>
    <x:t xml:space="preserve">Obra Cras Passo</x:t>
  </x:si>
  <x:si>
    <x:t xml:space="preserve">Prefeitura Municipal de São Borja – Setor de Licitações</x:t>
  </x:si>
  <x:si>
    <x:t xml:space="preserve">—</x:t>
  </x:si>
  <x:si>
    <x:t xml:space="preserve">Rua : Vereador Alberto Rocha Benevenuto,  nº 680, São Borja , Rs</x:t>
  </x:si>
  <x:si>
    <x:t xml:space="preserve">EMPRESA EXECUTORA</x:t>
  </x:si>
  <x:si>
    <x:t xml:space="preserve">CNPJ EXECUTORA</x:t>
  </x:si>
  <x:si>
    <x:t xml:space="preserve">CONTRATO Nº</x:t>
  </x:si>
  <x:si>
    <x:t xml:space="preserve">PROCESSO ADMINISTRATIVO</x:t>
  </x:si>
  <x:si>
    <x:t xml:space="preserve">Solv Construtora e Soluções Ltda</x:t>
  </x:si>
  <x:si>
    <x:t xml:space="preserve">36.419.348/0001-65</x:t>
  </x:si>
  <x:si>
    <x:t xml:space="preserve">nº 129/2026/SMPOP/DCL</x:t>
  </x:si>
  <x:si>
    <x:t xml:space="preserve">Nº BOLETIM</x:t>
  </x:si>
  <x:si>
    <x:t xml:space="preserve">DATA MEDIÇÃO</x:t>
  </x:si>
  <x:si>
    <x:t xml:space="preserve">PERÍODO DE MEDIÇÃO</x:t>
  </x:si>
  <x:si>
    <x:t xml:space="preserve">INÍCIO DA OBRA</x:t>
  </x:si>
  <x:si>
    <x:t xml:space="preserve">PRAZO CONTRATUAL</x:t>
  </x:si>
  <x:si>
    <x:t xml:space="preserve">LICITAÇÃO Nº</x:t>
  </x:si>
  <x:si>
    <x:t xml:space="preserve">BM-01</x:t>
  </x:si>
  <x:si>
    <x:t xml:space="preserve">01/07/2026</x:t>
  </x:si>
  <x:si>
    <x:t xml:space="preserve">— a —</x:t>
  </x:si>
  <x:si>
    <x:t xml:space="preserve">11/05/2026</x:t>
  </x:si>
  <x:si>
    <x:t xml:space="preserve">120 dias</x:t>
  </x:si>
  <x:si>
    <x:t xml:space="preserve">Concorrência Eletrônica nº 01/2026</x:t>
  </x:si>
  <x:si>
    <x:t xml:space="preserve">OBJETO DO CONTRATO</x:t>
  </x:si>
  <x:si>
    <x:t xml:space="preserve">RESPONSÁVEL TÉCNICO</x:t>
  </x:si>
  <x:si>
    <x:t xml:space="preserve">FISCAL DA OBRA</x:t>
  </x:si>
  <x:si>
    <x:t xml:space="preserve">Luiz Guilherme Schutz Fontela
CREA/RS 215.203</x:t>
  </x:si>
  <x:si>
    <x:t xml:space="preserve">Eng civil Vitor Lindemann  Crea  Rs 216676
—</x:t>
  </x:si>
  <x:si>
    <x:t xml:space="preserve">Item</x:t>
  </x:si>
  <x:si>
    <x:t xml:space="preserve">Descrição</x:t>
  </x:si>
  <x:si>
    <x:t xml:space="preserve">Un.</x:t>
  </x:si>
  <x:si>
    <x:t xml:space="preserve">Qtd.</x:t>
  </x:si>
  <x:si>
    <x:t xml:space="preserve">V. Unit.</x:t>
  </x:si>
  <x:si>
    <x:t xml:space="preserve">Total</x:t>
  </x:si>
  <x:si>
    <x:t xml:space="preserve">EXECUTADO FÍSICO</x:t>
  </x:si>
  <x:si>
    <x:t xml:space="preserve">EXECUTADO FINANCEIRO</x:t>
  </x:si>
  <x:si>
    <x:t xml:space="preserve">Executado %</x:t>
  </x:si>
  <x:si>
    <x:t xml:space="preserve">Anterior</x:t>
  </x:si>
  <x:si>
    <x:t xml:space="preserve">Período</x:t>
  </x:si>
  <x:si>
    <x:t xml:space="preserve">Acum.</x:t>
  </x:si>
  <x:si>
    <x:t xml:space="preserve">1</x:t>
  </x:si>
  <x:si>
    <x:t xml:space="preserve">CRAS PASSO</x:t>
  </x:si>
  <x:si>
    <x:t xml:space="preserve">1.1</x:t>
  </x:si>
  <x:si>
    <x:t xml:space="preserve">ADMINISTRAÇÃO</x:t>
  </x:si>
  <x:si>
    <x:t xml:space="preserve">1.1.0.0.1</x:t>
  </x:si>
  <x:si>
    <x:t xml:space="preserve">ENCARREGADO GERAL COM ENCARGOS COMPLEMENTARES</x:t>
  </x:si>
  <x:si>
    <x:t xml:space="preserve">H</x:t>
  </x:si>
  <x:si>
    <x:t xml:space="preserve">1.1.0.0.2</x:t>
  </x:si>
  <x:si>
    <x:t xml:space="preserve">ENGENHEIRO CIVIL DE OBRA JUNIOR COM ENCARGOS
COMPLEMENTARES</x:t>
  </x:si>
  <x:si>
    <x:t xml:space="preserve">1.2</x:t>
  </x:si>
  <x:si>
    <x:t xml:space="preserve">SERVIÇOS INICIAIS</x:t>
  </x:si>
  <x:si>
    <x:t xml:space="preserve">1.2.0.0.1</x:t>
  </x:si>
  <x:si>
    <x:t xml:space="preserve">DEMOLIÇÃO DE ALVENARIA DE TIJOLO MACIÇO, DE FORMA MANUAL, SEM
REAPROVEITAMENTO. AF_09/2023</x:t>
  </x:si>
  <x:si>
    <x:t xml:space="preserve">M³</x:t>
  </x:si>
  <x:si>
    <x:t xml:space="preserve">1.2.0.0.2</x:t>
  </x:si>
  <x:si>
    <x:t xml:space="preserve">RETIRADA DE DIVISORIAS ( 00023/ORSE )</x:t>
  </x:si>
  <x:si>
    <x:t xml:space="preserve">M²</x:t>
  </x:si>
  <x:si>
    <x:t xml:space="preserve">1.2.0.0.3</x:t>
  </x:si>
  <x:si>
    <x:t xml:space="preserve">DEMOLIÇÃO DE REVESTIMENTO CERÂMICO, DE FORMA MANUAL, SEM
REAPROVEITAMENTO. AF_09/2023</x:t>
  </x:si>
  <x:si>
    <x:t xml:space="preserve">1.2.0.0.4</x:t>
  </x:si>
  <x:si>
    <x:t xml:space="preserve">1.2.0.0.5</x:t>
  </x:si>
  <x:si>
    <x:t xml:space="preserve">PLACA DE OBRA REF.SIPCI103689+ 3 SUPORTES DE MADEIRA DE 4,30M SIPCI103695( COMP.023)</x:t>
  </x:si>
  <x:si>
    <x:t xml:space="preserve">1.2.0.0.6</x:t>
  </x:si>
  <x:si>
    <x:t xml:space="preserve">FORNECIMENTO E INSTAL.SUPORTE DE MADEIRAPARA PLACA DE
OBRASSIPCI103694 PARA PLACA COM DIMENSÕES DE 3M X 1,50M ALTURA DE 2M DO SOLO</x:t>
  </x:si>
  <x:si>
    <x:t xml:space="preserve">UN</x:t>
  </x:si>
  <x:si>
    <x:t xml:space="preserve">1.2.0.0.7</x:t>
  </x:si>
  <x:si>
    <x:t xml:space="preserve">CAÇAMBA PARA ENTULHO</x:t>
  </x:si>
  <x:si>
    <x:t xml:space="preserve">1.3</x:t>
  </x:si>
  <x:si>
    <x:t xml:space="preserve">ALVENARIAS</x:t>
  </x:si>
  <x:si>
    <x:t xml:space="preserve">1.3.1</x:t>
  </x:si>
  <x:si>
    <x:t xml:space="preserve">SALA DE ATENDIMENTO</x:t>
  </x:si>
  <x:si>
    <x:t xml:space="preserve">1.3.1.0.1</x:t>
  </x:si>
  <x:si>
    <x:t xml:space="preserve">ALVENARIA DE VEDAÇÃO DE BLOCOS CERÂMICOS FURADOS NA HORIZONTAL DE 11,5X19X29 CM (ESPESSURA 11,5 CM) E ARGAMASSA DE ASSENTAMENTO COM PREPARO EM BETONEIRA. AF_12/2021</x:t>
  </x:si>
  <x:si>
    <x:t xml:space="preserve">1.3.1.0.2</x:t>
  </x:si>
  <x:si>
    <x:t xml:space="preserve">CHAPISCO APLICADO EM ALVENARIAS E ESTRUTURAS DE CONCRETO INTERNAS, COM COLHER DE PEDREIRO. ARGAMASSA TRAÇO 1:3 COM
PREPARO MANUAL. AF_10/2022</x:t>
  </x:si>
  <x:si>
    <x:t xml:space="preserve">1.3.1.0.3</x:t>
  </x:si>
  <x:si>
    <x:t xml:space="preserve">EMBOÇO, EM ARGAMASSA TRAÇO 1:2:8, PREPARO MECÂNICO, APLICADO MANUALMENTE EM PAREDES INTERNAS DE AMBIENTES COM ÁREA MAIOR QUE 10M², E = 17,5MM, COM TALISCAS. AF_03/2024</x:t>
  </x:si>
  <x:si>
    <x:t xml:space="preserve">1.3.2</x:t>
  </x:si>
  <x:si>
    <x:t xml:space="preserve">SALA COORDENADORA ADMINISTRATIVO</x:t>
  </x:si>
  <x:si>
    <x:t xml:space="preserve">1.3.2.0.1</x:t>
  </x:si>
  <x:si>
    <x:t xml:space="preserve">1.3.2.0.2</x:t>
  </x:si>
  <x:si>
    <x:t xml:space="preserve">ALVENARIA DE VEDAÇÃO DE BLOCOS CERÂMICOS FURADOS NA VERTICAL DE 19X19X39 CM (ESPESSURA 19 CM) E ARGAMASSA DE ASSENTAMENTO COM PREPARO EM BETONEIRA. AF_12/2021</x:t>
  </x:si>
  <x:si>
    <x:t xml:space="preserve">1.3.2.0.3</x:t>
  </x:si>
  <x:si>
    <x:t xml:space="preserve">1.3.2.0.4</x:t>
  </x:si>
  <x:si>
    <x:t xml:space="preserve">1.3.3</x:t>
  </x:si>
  <x:si>
    <x:t xml:space="preserve">HALL DE ENTRADA</x:t>
  </x:si>
  <x:si>
    <x:t xml:space="preserve">1.3.3.0.1</x:t>
  </x:si>
  <x:si>
    <x:t xml:space="preserve">1.3.3.0.2</x:t>
  </x:si>
  <x:si>
    <x:t xml:space="preserve">CHAPISCO APLICADO EM ALVENARIAS E ESTRUTURAS DE CONCRETO
INTERNAS, COM COLHER DE PEDREIRO. ARGAMASSA TRAÇO 1:3 COM PREPARO MANUAL. AF_10/2022</x:t>
  </x:si>
  <x:si>
    <x:t xml:space="preserve">1.3.3.0.3</x:t>
  </x:si>
  <x:si>
    <x:t xml:space="preserve">1.3.4</x:t>
  </x:si>
  <x:si>
    <x:t xml:space="preserve">BANHEIRO PNE MASC./FEM./FRALDARIO</x:t>
  </x:si>
  <x:si>
    <x:t xml:space="preserve">1.3.4.0.1</x:t>
  </x:si>
  <x:si>
    <x:t xml:space="preserve">1.3.4.0.2</x:t>
  </x:si>
  <x:si>
    <x:t xml:space="preserve">1.3.4.0.3</x:t>
  </x:si>
  <x:si>
    <x:t xml:space="preserve">1.3.4.0.4</x:t>
  </x:si>
  <x:si>
    <x:t xml:space="preserve">1.4</x:t>
  </x:si>
  <x:si>
    <x:t xml:space="preserve">AZULEJOS</x:t>
  </x:si>
  <x:si>
    <x:t xml:space="preserve">1.4.1</x:t>
  </x:si>
  <x:si>
    <x:t xml:space="preserve">PREDIO 01 ( MAIOR ÁREA )</x:t>
  </x:si>
  <x:si>
    <x:t xml:space="preserve">1.4.1.1</x:t>
  </x:si>
  <x:si>
    <x:t xml:space="preserve">1.4.1.1.1</x:t>
  </x:si>
  <x:si>
    <x:t xml:space="preserve">REVESTIMENTO CERÂMICO PARA PAREDES INTERNAS COM PLACAS TIPO ESMALTADA DE DIMENSÕES 33X45 CM APLICADAS NA ALTURA INTEIRA
DAS PAREDES. AF_02/2023_PE</x:t>
  </x:si>
  <x:si>
    <x:t xml:space="preserve">1.5</x:t>
  </x:si>
  <x:si>
    <x:t xml:space="preserve">CONTRAPISO/PISO PREDIO 01 ( MAIOR ÁREA )</x:t>
  </x:si>
  <x:si>
    <x:t xml:space="preserve">1.5.1</x:t>
  </x:si>
  <x:si>
    <x:t xml:space="preserve">SALA ADMINISTRATIVO/APOIO</x:t>
  </x:si>
  <x:si>
    <x:t xml:space="preserve">1.5.1.0.1</x:t>
  </x:si>
  <x:si>
    <x:t xml:space="preserve">Revestimento para piso com lajota cerâmica rústica 30 x 30cm, assentado com argamassa de cimento ( ORSE/14024 )</x:t>
  </x:si>
  <x:si>
    <x:t xml:space="preserve">1.5.2</x:t>
  </x:si>
  <x:si>
    <x:t xml:space="preserve">SALA EQUIPE REFERENCIADA/SALAS ATENDIMENTO INDIVIDUAL</x:t>
  </x:si>
  <x:si>
    <x:t xml:space="preserve">1.5.2.0.1</x:t>
  </x:si>
  <x:si>
    <x:t xml:space="preserve">1.5.3</x:t>
  </x:si>
  <x:si>
    <x:t xml:space="preserve">BANHEIROS PNE MASC./FEMININO / BANHEIRO COM FRALDARIO</x:t>
  </x:si>
  <x:si>
    <x:t xml:space="preserve">1.5.3.0.1</x:t>
  </x:si>
  <x:si>
    <x:t xml:space="preserve">CONTRAPISO EM ARGAMASSA TRAÇO 1:4 (CIMENTO E AREIA), PREPARO MANUAL, APLICADO EM ÁREAS SECAS SOBRE LAJE, NÃO ADERIDO, ACABAMENTO NÃO REFORÇADO, ESPESSURA 5CM. AF_07/2021</x:t>
  </x:si>
  <x:si>
    <x:t xml:space="preserve">1.5.3.0.2</x:t>
  </x:si>
  <x:si>
    <x:t xml:space="preserve">REVESTIMENTO CERÂMICO PARA PISO COM PLACAS TIPO ESMALTADA DE DIMENSÕES 45X45 CM APLICADA EM AMBIENTES DE ÁREA MAIOR QUE 10 M2. AF_02/2023_PE</x:t>
  </x:si>
  <x:si>
    <x:t xml:space="preserve">1.6</x:t>
  </x:si>
  <x:si>
    <x:t xml:space="preserve">FORRO PVC</x:t>
  </x:si>
  <x:si>
    <x:t xml:space="preserve">1.6.1</x:t>
  </x:si>
  <x:si>
    <x:t xml:space="preserve">PRÉDIO 01 ( ÁREA MAIOR )</x:t>
  </x:si>
  <x:si>
    <x:t xml:space="preserve">1.6.1.1</x:t>
  </x:si>
  <x:si>
    <x:t xml:space="preserve">SALA EQUIP.REFERENC./ATEND.INDIVIDUAL 2 E 3</x:t>
  </x:si>
  <x:si>
    <x:t xml:space="preserve">1.6.1.1.1</x:t>
  </x:si>
  <x:si>
    <x:t xml:space="preserve">REMOÇÃO FORRO PVC</x:t>
  </x:si>
  <x:si>
    <x:t xml:space="preserve">1.6.1.1.2</x:t>
  </x:si>
  <x:si>
    <x:t xml:space="preserve">FORRO EM RÉGUAS DE PVC, FRISADO, PARA AMBIENTES COMERCIAIS, INCLUSIVE ESTRUTURA BIDIRECIONAL DE FIXAÇÃO. AF_08/2023_PS</x:t>
  </x:si>
  <x:si>
    <x:t xml:space="preserve">1.6.1.2</x:t>
  </x:si>
  <x:si>
    <x:t xml:space="preserve">SALA DE ATIVIDADES COLETIVAS</x:t>
  </x:si>
  <x:si>
    <x:t xml:space="preserve">1.6.1.2.1</x:t>
  </x:si>
  <x:si>
    <x:t xml:space="preserve">REMOÇÃO DE FORRO DE GESSO, DE FORMA MANUAL, SEM
REAPROVEITAMENTO. AF_09/2023</x:t>
  </x:si>
  <x:si>
    <x:t xml:space="preserve">1.6.1.2.2</x:t>
  </x:si>
  <x:si>
    <x:t xml:space="preserve">1.6.1.3</x:t>
  </x:si>
  <x:si>
    <x:t xml:space="preserve">BANHEIROS PNE/FRALDARIO/CIRCULAÇÃO</x:t>
  </x:si>
  <x:si>
    <x:t xml:space="preserve">1.6.1.3.1</x:t>
  </x:si>
  <x:si>
    <x:t xml:space="preserve">1.6.1.3.2</x:t>
  </x:si>
  <x:si>
    <x:t xml:space="preserve">1.7</x:t>
  </x:si>
  <x:si>
    <x:t xml:space="preserve">DIVISORIAS EM GESSO</x:t>
  </x:si>
  <x:si>
    <x:t xml:space="preserve">1.7.0.0.1</x:t>
  </x:si>
  <x:si>
    <x:t xml:space="preserve">PAREDE COM SISTEMA EM CHAPAS DE GESSO PARA DRYWALL, USO INTERNO, COM DUAS FACES DUPLAS E ESTRUTURA METÁLICA COM GUIAS SIMPLES PARA PAREDES COM ÁREA LÍQUIDA MAIOR OU IGUAL A 6 M2, COM VÃOS. AF_07/2023_PS</x:t>
  </x:si>
  <x:si>
    <x:t xml:space="preserve">1.7.0.0.2</x:t>
  </x:si>
  <x:si>
    <x:t xml:space="preserve">INSTALAÇÃO DE REFORÇO METÁLICO EM PAREDE DRYWALL. AF_07/2023</x:t>
  </x:si>
  <x:si>
    <x:t xml:space="preserve">M</x:t>
  </x:si>
  <x:si>
    <x:t xml:space="preserve">1.8</x:t>
  </x:si>
  <x:si>
    <x:t xml:space="preserve">ABERTURAS</x:t>
  </x:si>
  <x:si>
    <x:t xml:space="preserve">1.8.1</x:t>
  </x:si>
  <x:si>
    <x:t xml:space="preserve">PORTAS INSTALADAS/PINTADAS</x:t>
  </x:si>
  <x:si>
    <x:t xml:space="preserve">1.8.1.0.1</x:t>
  </x:si>
  <x:si>
    <x:t xml:space="preserve">KIT DE PORTA DE MADEIRA PARA PINTURA, SEMIOCA (LEVE OU MÉDIA), PADRÃO POPULAR, 80X210CM, ESPESSURA DE 3,5CM, ITENS INCLUSOS: DOBRADIÇAS, MONTAGEM E INSTALAÇÃO DO BATENTE, FECHADURA COM EXECUÇÃO DO FURO FORNECIMENTO E INSTALAÇÃO. AF_12/2019</x:t>
  </x:si>
  <x:si>
    <x:t xml:space="preserve">1.8.1.0.2</x:t>
  </x:si>
  <x:si>
    <x:t xml:space="preserve">PORTA DE ABRIR COM MOLA HIDRÁULICA, EM VIDRO TEMPERADO, 90X210 CM, ESPESSURA 10 MM, INCLUSIVE ACESSÓRIOS. AF_01/2021</x:t>
  </x:si>
  <x:si>
    <x:t xml:space="preserve">1.8.1.0.3</x:t>
  </x:si>
  <x:si>
    <x:t xml:space="preserve">PINTURA TINTA DE ACABAMENTO (PIGMENTADA) ESMALTE SINTÉTICO
FOSCO EM MADEIRA, 2 DEMÃOS. AF_01/2021</x:t>
  </x:si>
  <x:si>
    <x:t xml:space="preserve">1.8.1.0.4</x:t>
  </x:si>
  <x:si>
    <x:t xml:space="preserve">PORTA EM ALUMÍNIO DE ABRIR TIPO VENEZIANA COM GUARNIÇÃO, FIXAÇÃO COM PARAFUSOS FORNECIMENTO E INSTALAÇÃO. AF_12/2019</x:t>
  </x:si>
  <x:si>
    <x:t xml:space="preserve">1.8.1.0.5</x:t>
  </x:si>
  <x:si>
    <x:t xml:space="preserve">PINTURA COM TINTA ALQUÍDICA DE ACABAMENTO (ESMALTE SINTÉTICO BRILHANTE) APLICADA A ROLO OU PINCEL SOBRE SUPERFÍCIES METÁLICAS (EXCETO PERFIL) EXECUTADO EM OBRA (02 DEMÃOS).
AF_01/2020</x:t>
  </x:si>
  <x:si>
    <x:t xml:space="preserve">1.8.1.0.6</x:t>
  </x:si>
  <x:si>
    <x:t xml:space="preserve">PORTA DE ABRIR COM MOLA HIDRÁULICA, EM VIDRO TEMPERADO, 2
FOLHAS DE 90X210 CM, ESPESSURA DD 10MM, INCLUSIVE ACESSÓRIOS. AF_01/2021</x:t>
  </x:si>
  <x:si>
    <x:t xml:space="preserve">1.9</x:t>
  </x:si>
  <x:si>
    <x:t xml:space="preserve">PINTURA INTERNA</x:t>
  </x:si>
  <x:si>
    <x:t xml:space="preserve">1.9.1</x:t>
  </x:si>
  <x:si>
    <x:t xml:space="preserve">PREDIO ÁREA MAIOR</x:t>
  </x:si>
  <x:si>
    <x:t xml:space="preserve">1.9.1.0.1</x:t>
  </x:si>
  <x:si>
    <x:t xml:space="preserve">PREPARO DE SUPERFICIES COM LIXAMENTO PAREDES/TETOS</x:t>
  </x:si>
  <x:si>
    <x:t xml:space="preserve">1.9.1.0.2</x:t>
  </x:si>
  <x:si>
    <x:t xml:space="preserve">FUNDO SELADOR ACRÍLICO, APLICAÇÃO MANUAL EM PAREDE, UMA
DEMÃO. AF_04/2023</x:t>
  </x:si>
  <x:si>
    <x:t xml:space="preserve">1.9.1.0.3</x:t>
  </x:si>
  <x:si>
    <x:t xml:space="preserve">APLICAÇÃO MANUAL DE TINTA ACRÍLICA 02 DEMÃOS</x:t>
  </x:si>
  <x:si>
    <x:t xml:space="preserve">1.9.2</x:t>
  </x:si>
  <x:si>
    <x:t xml:space="preserve">PINTURA DE FORRO DE MADEIRA( COZINHA E DESPENSA )</x:t>
  </x:si>
  <x:si>
    <x:t xml:space="preserve">1.9.2.0.1</x:t>
  </x:si>
  <x:si>
    <x:t xml:space="preserve">LIXAMENTO DE MADEIRA PARA APLICAÇÃO DE FUNDO OU PINTURA.
AF_01/2021</x:t>
  </x:si>
  <x:si>
    <x:t xml:space="preserve">1.9.2.0.2</x:t>
  </x:si>
  <x:si>
    <x:t xml:space="preserve">PINTURA TINTA DE ACABAMENTO (PIGMENTADA) ESMALTE SINTÉTICO ACETINADO EM MADEIRA, 2 DEMÃOS. AF_01/2021</x:t>
  </x:si>
  <x:si>
    <x:t xml:space="preserve">1.10</x:t>
  </x:si>
  <x:si>
    <x:t xml:space="preserve">PINTURA EXTERNA</x:t>
  </x:si>
  <x:si>
    <x:t xml:space="preserve">1.10.1</x:t>
  </x:si>
  <x:si>
    <x:t xml:space="preserve">1.10.1.0.1</x:t>
  </x:si>
  <x:si>
    <x:t xml:space="preserve">1.10.1.0.2</x:t>
  </x:si>
  <x:si>
    <x:t xml:space="preserve">1.10.1.0.3</x:t>
  </x:si>
  <x:si>
    <x:t xml:space="preserve">1.11</x:t>
  </x:si>
  <x:si>
    <x:t xml:space="preserve">TELHAMENTO</x:t>
  </x:si>
  <x:si>
    <x:t xml:space="preserve">1.11.0.0.1</x:t>
  </x:si>
  <x:si>
    <x:t xml:space="preserve">REMOÇÃO DE TELHAS DE FIBROCIMENTO, METÁLICA E CERÂMICA, DE FORMA MECANIZADA, COM USO DE GUINDASTE, SEM
REAPROVEITAMENTO. AF_09/2023</x:t>
  </x:si>
  <x:si>
    <x:t xml:space="preserve">1.11.0.0.2</x:t>
  </x:si>
  <x:si>
    <x:t xml:space="preserve">TELHA TRAPEZOIDAL EM ACO ZINCADO, SEM PINTURA, ALTURA DE APROXIMADAMENTE 40 MM, ESPESSURA DE 0,50 MM E LARGURA UTIL DE
980 MM</x:t>
  </x:si>
  <x:si>
    <x:t xml:space="preserve">1.11.0.0.3</x:t>
  </x:si>
  <x:si>
    <x:t xml:space="preserve">CUMEEIRA EM GALVALUME PARA TELHA TRAPEZOIDAL, COM 40 CM DE CADA LADO E ESP.=0,43MM</x:t>
  </x:si>
  <x:si>
    <x:t xml:space="preserve">1.11.0.0.4</x:t>
  </x:si>
  <x:si>
    <x:t xml:space="preserve">CALHA EM CHAPA DE AÇO GALVANIZADO NÚMERO 24, DESENVOLVIMENTO DE 100 CM, INCLUSO TRANSPORTE VERTICAL.
AF_07/2019</x:t>
  </x:si>
  <x:si>
    <x:t xml:space="preserve">1.11.0.0.5</x:t>
  </x:si>
  <x:si>
    <x:t xml:space="preserve">RUFO EXTERNO/INTERNO EM CHAPA DE AÇO GALVANIZADO NÚMERO 26, CORTE DE 33 CM, INCLUSO IÇAMENTO. AF_07/2019</x:t>
  </x:si>
  <x:si>
    <x:t xml:space="preserve">1.12</x:t>
  </x:si>
  <x:si>
    <x:t xml:space="preserve">INSTALAÇÕES ELÉTRICAS</x:t>
  </x:si>
  <x:si>
    <x:t xml:space="preserve">1.12.1</x:t>
  </x:si>
  <x:si>
    <x:t xml:space="preserve">INFRA REDE DE DADOS</x:t>
  </x:si>
  <x:si>
    <x:t xml:space="preserve">1.12.1.0.1</x:t>
  </x:si>
  <x:si>
    <x:t xml:space="preserve">CAIXA RETANGULAR 4" X 2" BAIXA (0,30 M DO PISO), PVC, INSTALADA EM PAREDE FORNECIMENTO E INSTALAÇÃO. AF_03/2023</x:t>
  </x:si>
  <x:si>
    <x:t xml:space="preserve">1.12.1.0.2</x:t>
  </x:si>
  <x:si>
    <x:t xml:space="preserve">CAIXA ENTERRADA ELÉTRICA RETANGULAR, EM ALVENARIA COM TIJOLOS CERÂMICOS MACIÇOS, FUNDO COM BRITA, DIMENSÕES
INTERNAS: 0,4X0,4X0,4 M. AF_12/2020</x:t>
  </x:si>
  <x:si>
    <x:t xml:space="preserve">1.12.1.0.3</x:t>
  </x:si>
  <x:si>
    <x:t xml:space="preserve">CAIXA DE PASSAGEM ELETRICA DE PAREDE, DE EMBUTIR, EM PVC, COM TAMPA APARAFUSADA, DIMENSÕES 200 X 200 X 90MM FORNECIMENTO E INSTALAÇÃO</x:t>
  </x:si>
  <x:si>
    <x:t xml:space="preserve">1.12.1.0.4</x:t>
  </x:si>
  <x:si>
    <x:t xml:space="preserve">TAMPA CEGA EM PVC PARA CONDULETE 4 X 2" FORNECIMENTO E
INSTALAÇÃO</x:t>
  </x:si>
  <x:si>
    <x:t xml:space="preserve">1.12.1.0.5</x:t>
  </x:si>
  <x:si>
    <x:t xml:space="preserve">ELETRODUTO FLEXÍVEL CORRUGADO, PVC, DN 32 MM (1"), PARA CIRCUITOS TERMINAIS, INSTALADO EM FORRO FORNECIMENTO E
INSTALAÇÃO. AF_03/2023</x:t>
  </x:si>
  <x:si>
    <x:t xml:space="preserve">1.12.1.0.6</x:t>
  </x:si>
  <x:si>
    <x:t xml:space="preserve">ELETRODUTO FLEXÍVEL CORRUGADO, PVC, DN 32 MM (1"), PARA CIRCUITOS TERMINAIS, INSTALADO EM PAREDE FORNECIMENTO E
INSTALAÇÃO. AF_03/2023</x:t>
  </x:si>
  <x:si>
    <x:t xml:space="preserve">1.12.1.0.7</x:t>
  </x:si>
  <x:si>
    <x:t xml:space="preserve">ELETRODUTO/DUTO PEAD ,SEM ROSCA, DE 1 ", PARA CABEAMENTO SUBTERRANEO ( NBR 15715) MFORNECIMENTO / INSTALAÇÃO.</x:t>
  </x:si>
  <x:si>
    <x:t xml:space="preserve">1.12.2</x:t>
  </x:si>
  <x:si>
    <x:t xml:space="preserve">ACESS[ORIOS PARA ELETRODUTOS</x:t>
  </x:si>
  <x:si>
    <x:t xml:space="preserve">1.12.2.0.1</x:t>
  </x:si>
  <x:si>
    <x:t xml:space="preserve">CAIXA RETANGULAR 4" X 2" ALTA (2,00 M DO PISO), PVC, INSTALADA EM PAREDE FORNECIMENTO E INSTALAÇÃO. AF_03/2023</x:t>
  </x:si>
  <x:si>
    <x:t xml:space="preserve">1.12.2.0.2</x:t>
  </x:si>
  <x:si>
    <x:t xml:space="preserve">CAIXA RETANGULAR 4" X 2" MÉDIA (1,30 M DO PISO), PVC, INSTALADA EM PAREDE FORNECIMENTO E INSTALAÇÃO. AF_03/2023</x:t>
  </x:si>
  <x:si>
    <x:t xml:space="preserve">1.12.2.0.3</x:t>
  </x:si>
  <x:si>
    <x:t xml:space="preserve">1.12.2.0.4</x:t>
  </x:si>
  <x:si>
    <x:t xml:space="preserve">CAIXA OCTOGONAL 4" X 4", PVC, INSTALADA EM LAJE FORNECIMENTO E
INSTALAÇÃO. AF_03/2023</x:t>
  </x:si>
  <x:si>
    <x:t xml:space="preserve">1.12.3</x:t>
  </x:si>
  <x:si>
    <x:t xml:space="preserve">CABO UNIPOLAR ( COBRE )</x:t>
  </x:si>
  <x:si>
    <x:t xml:space="preserve">1.12.3.0.1</x:t>
  </x:si>
  <x:si>
    <x:t xml:space="preserve">CABO DE COBRE FLEXÍVEL ISOLADO, 16 MM², ANTICHAMA 0,6/1,0 KV,</x:t>
  </x:si>
  <x:si>
    <x:t xml:space="preserve">1.12.3.0.2</x:t>
  </x:si>
  <x:si>
    <x:t xml:space="preserve">CABO DE COBRE FLEXÍVEL ISOLADO, 1,5 MM², ANTICHAMA 450/750 V, PARA CIRCUITOS TERMINAIS FORNECIMENTO E INSTALAÇÃO.
AF_03/2023</x:t>
  </x:si>
  <x:si>
    <x:t xml:space="preserve">1.12.3.0.3</x:t>
  </x:si>
  <x:si>
    <x:t xml:space="preserve">CABO DE COBRE FLEXÍVEL ISOLADO, 2,5 MM², ANTICHAMA 450/750 V, PARA CIRCUITOS TERMINAIS FORNECIMENTO E INSTALAÇÃO.
AF_03/2023</x:t>
  </x:si>
  <x:si>
    <x:t xml:space="preserve">1.12.3.0.4</x:t>
  </x:si>
  <x:si>
    <x:t xml:space="preserve">CABO DE COBRE FLEXÍVEL ISOLADO, 4 MM², ANTICHAMA 450/750 V, PARA CIRCUITOS TERMINAIS FORNECIMENTO E INSTALAÇÃO. AF_03/2023</x:t>
  </x:si>
  <x:si>
    <x:t xml:space="preserve">1.12.3.0.5</x:t>
  </x:si>
  <x:si>
    <x:t xml:space="preserve">CABO DE COBRE FLEXÍVEL ISOLADO, 6 MM², ANTICHAMA 450/750 V, PARA CIRCUITOS TERMINAIS FORNECIMENTO E INSTALAÇÃO. AF_03/2023</x:t>
  </x:si>
  <x:si>
    <x:t xml:space="preserve">1.12.4</x:t>
  </x:si>
  <x:si>
    <x:t xml:space="preserve">CAIXA DE PASSAGEM DE EMBUTIR</x:t>
  </x:si>
  <x:si>
    <x:t xml:space="preserve">1.12.4.0.1</x:t>
  </x:si>
  <x:si>
    <x:t xml:space="preserve">CAIXA ENTERRADA ELÉTRICA RETANGULAR, EM ALVENARIA COM TIJOLOS CERÂMICOS MACIÇOS, FUNDO COM BRITA, DIMENSÕES
INTERNAS: 0,6X0,6X0,6 M. AF_12/2020</x:t>
  </x:si>
  <x:si>
    <x:t xml:space="preserve">1.12.4.0.2</x:t>
  </x:si>
  <x:si>
    <x:t xml:space="preserve">CAIXA DE PASSAGEM ELETRICA DE PAREDE, DE EMBUTIR, EM PVC, COM
TAMPA APARAFUSADA, DIMENSÕES 200 X 200 X 90MM FORNECIMENTO E INSTALAÇÃO</x:t>
  </x:si>
  <x:si>
    <x:t xml:space="preserve">1.12.5</x:t>
  </x:si>
  <x:si>
    <x:t xml:space="preserve">DISPOSITIVO ELÉTRICO EMBUTIDO</x:t>
  </x:si>
  <x:si>
    <x:t xml:space="preserve">1.12.5.0.1</x:t>
  </x:si>
  <x:si>
    <x:t xml:space="preserve">INTERRUPTOR SIMPLES (1 MÓDULO), 10A/250V, INCLUINDO SUPORTE E PLACA FORNECIMENTO E INSTALAÇÃO. AF_03/2023</x:t>
  </x:si>
  <x:si>
    <x:t xml:space="preserve">1.12.5.0.2</x:t>
  </x:si>
  <x:si>
    <x:t xml:space="preserve">INTERRUPTOR SIMPLES (2 MÓDULOS), 10A/250V, INCLUINDO SUPORTE E PLACA FORNECIMENTO E INSTALAÇÃO. AF_03/2023</x:t>
  </x:si>
  <x:si>
    <x:t xml:space="preserve">1.12.5.0.3</x:t>
  </x:si>
  <x:si>
    <x:t xml:space="preserve">TOMADA MÉDIA DE EMBUTIR (2 MÓDULOS), 2P+T 20 A, SEM SUPORTE E SEM PLACA FORNECIMENTO E INSTALAÇÃO. AF_03/2023</x:t>
  </x:si>
  <x:si>
    <x:t xml:space="preserve">1.12.5.0.4</x:t>
  </x:si>
  <x:si>
    <x:t xml:space="preserve">TOMADA ALTA DE EMBUTIR (1 MÓDULO), 2P+T 20 A, INCLUINDO SUPORTE E PLACA FORNECIMENTO E INSTALAÇÃO. AF_03/2023</x:t>
  </x:si>
  <x:si>
    <x:t xml:space="preserve">1.12.5.0.5</x:t>
  </x:si>
  <x:si>
    <x:t xml:space="preserve">TOMADA ALTA DE EMBUTIR (1 MÓDULO), 2P+T 10 A, INCLUINDO SUPORTE E PLACA FORNECIMENTO E INSTALAÇÃO. AF_03/2023</x:t>
  </x:si>
  <x:si>
    <x:t xml:space="preserve">1.12.5.0.6</x:t>
  </x:si>
  <x:si>
    <x:t xml:space="preserve">TOMADA MÉDIA DE EMBUTIR (1 MÓDULO), 2P+T 10 A, INCLUINDO SUPORTE E PLACA FORNECIMENTO E INSTALAÇÃO. AF_03/2023</x:t>
  </x:si>
  <x:si>
    <x:t xml:space="preserve">1.12.5.0.7</x:t>
  </x:si>
  <x:si>
    <x:t xml:space="preserve">TOMADA BAIXA DE EMBUTIR (1 MÓDULO), 2P+T 10 A, INCLUINDO SUPORTE E PLACA FORNECIMENTO E INSTALAÇÃO. AF_03/2023</x:t>
  </x:si>
  <x:si>
    <x:t xml:space="preserve">1.12.6</x:t>
  </x:si>
  <x:si>
    <x:t xml:space="preserve">DISPOSITIVO DE PROTEÇÃO</x:t>
  </x:si>
  <x:si>
    <x:t xml:space="preserve">1.12.6.0.1</x:t>
  </x:si>
  <x:si>
    <x:t xml:space="preserve">DISJUNTOR MONOPOLAR TIPO DIN, CORRENTE NOMINAL DE 10A
FORNECIMENTO E INSTALAÇÃO. AF_07/2025</x:t>
  </x:si>
  <x:si>
    <x:t xml:space="preserve">1.12.6.0.2</x:t>
  </x:si>
  <x:si>
    <x:t xml:space="preserve">DISJUNTOR MONOPOLAR TIPO DIN, CORRENTE NOMINAL DE 16A
FORNECIMENTO E INSTALAÇÃO. AF_07/2025</x:t>
  </x:si>
  <x:si>
    <x:t xml:space="preserve">1.12.6.0.3</x:t>
  </x:si>
  <x:si>
    <x:t xml:space="preserve">DISJUNTOR MONOPOLAR TIPO DIN, CORRENTE NOMINAL DE 20A
FORNECIMENTO E INSTALAÇÃO. AF_07/2025</x:t>
  </x:si>
  <x:si>
    <x:t xml:space="preserve">1.12.6.0.4</x:t>
  </x:si>
  <x:si>
    <x:t xml:space="preserve">DISJUNTOR MONOPOLAR TIPO DIN, CORRENTE NOMINAL DE 40A
FORNECIMENTO E INSTALAÇÃO. AF_07/2025</x:t>
  </x:si>
  <x:si>
    <x:t xml:space="preserve">1.12.6.0.5</x:t>
  </x:si>
  <x:si>
    <x:t xml:space="preserve">DISJUNTOR TERMOMAGNETICO PARA TRILHO DIN (IEC), TRIPOLAR, 63 A
FORNECIMENTO E INSTALAÇÃO</x:t>
  </x:si>
  <x:si>
    <x:t xml:space="preserve">1.12.6.0.6</x:t>
  </x:si>
  <x:si>
    <x:t xml:space="preserve">DISPOSITIVO DR, 2 POLOS, SENSIBILIDADE DE 30 MA, CORRENTE DE 25 A, TIPO AC FORNECIMENTO E INSTALAÇÃO</x:t>
  </x:si>
  <x:si>
    <x:t xml:space="preserve">1.12.7</x:t>
  </x:si>
  <x:si>
    <x:t xml:space="preserve">ELETRODUTOS</x:t>
  </x:si>
  <x:si>
    <x:t xml:space="preserve">1.12.7.0.1</x:t>
  </x:si>
  <x:si>
    <x:t xml:space="preserve">1.12.7.0.2</x:t>
  </x:si>
  <x:si>
    <x:t xml:space="preserve">ELETRODUTO FLEXÍVEL CORRUGADO, PVC, DN 32 MM (1"), PARA
CIRCUITOS TERMINAIS, INSTALADO EM PAREDE FORNECIMENTO E INSTALAÇÃO. AF_03/2023</x:t>
  </x:si>
  <x:si>
    <x:t xml:space="preserve">1.12.7.0.3</x:t>
  </x:si>
  <x:si>
    <x:t xml:space="preserve">ELETRODUTO FLEXÍVEL CORRUGADO, PVC, DN 25 MM (3/4"), PARA CIRCUITOS TERMINAIS, INSTALADO EM FORRO FORNECIMENTO E
INSTALAÇÃO. AF_03/2023</x:t>
  </x:si>
  <x:si>
    <x:t xml:space="preserve">1.12.7.0.4</x:t>
  </x:si>
  <x:si>
    <x:t xml:space="preserve">ELETRODUTO FLEXÍVEL CORRUGADO, PVC, DN 25 MM (3/4"), PARA CIRCUITOS TERMINAIS, INSTALADO EM PAREDE FORNECIMENTO E
INSTALAÇÃO. AF_03/2023</x:t>
  </x:si>
  <x:si>
    <x:t xml:space="preserve">1.12.7.0.5</x:t>
  </x:si>
  <x:si>
    <x:t xml:space="preserve">ELETRODUTO FLEXÍVEL CORRUGADO, PEAD, DN 50 (1 1/2"), PARA REDE ENTERRADA DE DISTRIBUIÇÃO DE ENERGIA ELÉTRICA FORNECIMENTO
E INSTALAÇÃO. AF_12/2021</x:t>
  </x:si>
  <x:si>
    <x:t xml:space="preserve">1.12.7.0.6</x:t>
  </x:si>
  <x:si>
    <x:t xml:space="preserve">ELETRODUTO FLEXÍVEL CORRUGADO PRETO INSTALADO EM FORRO
FORNECIMENTO E INSTALAÇÃO</x:t>
  </x:si>
  <x:si>
    <x:t xml:space="preserve">1.12.8</x:t>
  </x:si>
  <x:si>
    <x:t xml:space="preserve">LUMINARIA E ACESSÓRIOS</x:t>
  </x:si>
  <x:si>
    <x:t xml:space="preserve">1.12.8.0.1</x:t>
  </x:si>
  <x:si>
    <x:t xml:space="preserve">LUMINÁRIA ARANDELA TIPO TARTARUGA, DE SOBREPOR, COM 1 LÂMPADA LED DE 6 W, SEM REATOR FORNECIMENTO E INSTALAÇÃO.
AF_09/2024</x:t>
  </x:si>
  <x:si>
    <x:t xml:space="preserve">1.12.8.0.2</x:t>
  </x:si>
  <x:si>
    <x:t xml:space="preserve">Luminária sobrepor quadrada Led 24W*, 4000K 120° FORNECIMENTO E
INSTALAÇÃO</x:t>
  </x:si>
  <x:si>
    <x:t xml:space="preserve">1.12.8.0.3</x:t>
  </x:si>
  <x:si>
    <x:t xml:space="preserve">Painel em Led retangular 30 x 120 cm, de sobrepor 45W bivolt, cor branco frio FORNECIMENTO E INSTALAÇÃO</x:t>
  </x:si>
  <x:si>
    <x:t xml:space="preserve">1.12.8.0.4</x:t>
  </x:si>
  <x:si>
    <x:t xml:space="preserve">LUMINÁRIA TIPO PLAFON CIRCULAR, DE SOBREPOR, COM LED DE 12/13 W FORNECIMENTO E INSTALAÇÃO. AF_09/2024</x:t>
  </x:si>
  <x:si>
    <x:t xml:space="preserve">1.12.9</x:t>
  </x:si>
  <x:si>
    <x:t xml:space="preserve">QUADRO DE MEDIÇÃO CPFL</x:t>
  </x:si>
  <x:si>
    <x:t xml:space="preserve">1.12.9.0.1</x:t>
  </x:si>
  <x:si>
    <x:t xml:space="preserve">POSTE PADRÃO RGE EM CONCRETO PARA 01 MEDIDOR TRIFÁSICO CATEGORIA C9 COMPLETO FORNECIMENTO/INSTALAÇÃO</x:t>
  </x:si>
  <x:si>
    <x:t xml:space="preserve">1.12.10.0.1</x:t>
  </x:si>
  <x:si>
    <x:t xml:space="preserve">QUADRO DE DISTRIBUICAO, EM PVC, DE EMBUTIR, COM BARRAMENTO TERRA / NEUTRO, PARA 48 DISJUNTORES DIN FORNECIMENTO E
INSTALAÇÃO</x:t>
  </x:si>
  <x:si>
    <x:t xml:space="preserve">1.13</x:t>
  </x:si>
  <x:si>
    <x:t xml:space="preserve">INSTALAÇÕES HIDROSANITÁRIAS</x:t>
  </x:si>
  <x:si>
    <x:t xml:space="preserve">1.13.1</x:t>
  </x:si>
  <x:si>
    <x:t xml:space="preserve">ESGOTO</x:t>
  </x:si>
  <x:si>
    <x:t xml:space="preserve">1.13.1.0.1</x:t>
  </x:si>
  <x:si>
    <x:t xml:space="preserve">CAIXA DE GORDURA EM PVC 300MM (ORSE/04717)</x:t>
  </x:si>
  <x:si>
    <x:t xml:space="preserve">1.13.1.0.2</x:t>
  </x:si>
  <x:si>
    <x:t xml:space="preserve">CAIXA ENTERRADA HIDRÁULICA RETANGULAR EM ALVENARIA COM TIJOLOS CERÂMICOS MACIÇOS, DIMENSÕES INTERNAS: 0,6X0,6X0,6 M PARA REDE DE ESGOTO. AF_12/2020</x:t>
  </x:si>
  <x:si>
    <x:t xml:space="preserve">1.13.1.0.3</x:t>
  </x:si>
  <x:si>
    <x:t xml:space="preserve">CAIXA SIFONADA EM PVC 100X150X50MM COM GRELHA E PORTA GRELHA
(04280/ORSE )</x:t>
  </x:si>
  <x:si>
    <x:t xml:space="preserve">1.13.1.0.4</x:t>
  </x:si>
  <x:si>
    <x:t xml:space="preserve">CURVA CURTA 90 GRAUS, PVC, SERIE NORMAL, ESGOTO PREDIAL, DN 100 MM, JUNTA ELÁSTICA, FORNECIDO E INSTALADO EM RAMAL DE DESCARGA OU RAMAL DE ESGOTO SANITÁRIO. AF_08/2022</x:t>
  </x:si>
  <x:si>
    <x:t xml:space="preserve">1.13.1.0.5</x:t>
  </x:si>
  <x:si>
    <x:t xml:space="preserve">CURVA CURTA 90 GRAUS, PVC, SERIE NORMAL, ESGOTO PREDIAL, DN 40 MM, JUNTA SOLDÁVEL, FORNECIDO E INSTALADO EM RAMAL DE DESCARGA OU RAMAL DE ESGOTO SANITÁRIO. AF_08/2022</x:t>
  </x:si>
  <x:si>
    <x:t xml:space="preserve">1.13.1.0.6</x:t>
  </x:si>
  <x:si>
    <x:t xml:space="preserve">JOELHO 45 GRAUS, PVC, SERIE NORMAL, ESGOTO PREDIAL, DN 100 MM, JUNTA ELÁSTICA, FORNECIDO E INSTALADO EM RAMAL DE DESCARGA OU RAMAL DE ESGOTO SANITÁRIO. AF_08/2022</x:t>
  </x:si>
  <x:si>
    <x:t xml:space="preserve">1.13.1.0.7</x:t>
  </x:si>
  <x:si>
    <x:t xml:space="preserve">JOELHO 45 GRAUS, PVC, SERIE NORMAL, ESGOTO PREDIAL, DN 40 MM, JUNTA SOLDÁVEL, FORNECIDO E INSTALADO EM RAMAL DE DESCARGA OU RAMAL DE ESGOTO SANITÁRIO. AF_08/2022</x:t>
  </x:si>
  <x:si>
    <x:t xml:space="preserve">1.13.1.0.8</x:t>
  </x:si>
  <x:si>
    <x:t xml:space="preserve">JOELHO 45 GRAUS, PVC, SERIE NORMAL, ESGOTO PREDIAL, DN 50 MM, JUNTA ELÁSTICA, FORNECIDO E INSTALADO EM PRUMADA DE ESGOTO SANITÁRIO OU VENTILAÇÃO. AF_08/2022</x:t>
  </x:si>
  <x:si>
    <x:t xml:space="preserve">1.13.1.0.9</x:t>
  </x:si>
  <x:si>
    <x:t xml:space="preserve">JOELHO 45 GRAUS, PVC, SERIE NORMAL, ESGOTO PREDIAL, DN 75 MM, JUNTA ELÁSTICA, FORNECIDO E INSTALADO EM RAMAL DE DESCARGA OU RAMAL DE ESGOTO SANITÁRIO. AF_08/2022</x:t>
  </x:si>
  <x:si>
    <x:t xml:space="preserve">1.13.1.0.10</x:t>
  </x:si>
  <x:si>
    <x:t xml:space="preserve">JOELHO 90 GRAUS, PVC, SERIE NORMAL, ESGOTO PREDIAL, DN 100 MM, JUNTA ELÁSTICA, FORNECIDO E INSTALADO EM RAMAL DE DESCARGA OU RAMAL DE ESGOTO SANITÁRIO. AF_08/2022</x:t>
  </x:si>
  <x:si>
    <x:t xml:space="preserve">1.13.1.0.11</x:t>
  </x:si>
  <x:si>
    <x:t xml:space="preserve">JOELHO 90 GRAUS, PVC, SERIE NORMAL, ESGOTO PREDIAL, DN 40 MM, JUNTA SOLDÁVEL, FORNECIDO E INSTALADO EM RAMAL DE DESCARGA OU RAMAL DE ESGOTO SANITÁRIO. AF_08/2022</x:t>
  </x:si>
  <x:si>
    <x:t xml:space="preserve">1.13.1.0.12</x:t>
  </x:si>
  <x:si>
    <x:t xml:space="preserve">JOELHO 90 GRAUS, PVC, SERIE NORMAL, ESGOTO PREDIAL, DN 50 MM, JUNTA ELÁSTICA, FORNECIDO E INSTALADO EM RAMAL DE DESCARGA OU RAMAL DE ESGOTO SANITÁRIO. AF_08/2022</x:t>
  </x:si>
  <x:si>
    <x:t xml:space="preserve">1.13.1.0.13</x:t>
  </x:si>
  <x:si>
    <x:t xml:space="preserve">JUNÇÃO DE REDUÇÃO INVERTIDA, PVC, SÉRIE NORMAL, ESGOTO PREDIAL, DN 100 X 50 MM, JUNTA ELÁSTICA, FORNECIDO E INSTALADO EM PRUMADA DE ESGOTO SANITÁRIO OU VENTILAÇÃO. AF_08/2022</x:t>
  </x:si>
  <x:si>
    <x:t xml:space="preserve">1.13.1.0.14</x:t>
  </x:si>
  <x:si>
    <x:t xml:space="preserve">JUNÇÃO SIMPLES, PVC, SERIE NORMAL, ESGOTO PREDIAL, DN 50 X 50 MM, JUNTA ELÁSTICA, FORNECIDO E INSTALADO EM RAMAL DE DESCARGA OU RAMAL DE ESGOTO SANITÁRIO. AF_08/2022</x:t>
  </x:si>
  <x:si>
    <x:t xml:space="preserve">1.13.1.0.15</x:t>
  </x:si>
  <x:si>
    <x:t xml:space="preserve">JUNÇÃO DE REDUCAO INVERTIDA, PVC, SÉRIE NORMAL, ESGOTO PREDIAL, DN 100 X 75 MM, JUNTA ELÁSTICA, FORNECIDO E INSTALADO EM RAMAL DE DESCARGA OU RAMAL DE ESGOTO SANITÁRIO. AF_08/2022</x:t>
  </x:si>
  <x:si>
    <x:t xml:space="preserve">1.13.1.0.16</x:t>
  </x:si>
  <x:si>
    <x:t xml:space="preserve">JUNÇÃO SIMPLES, PVC, SERIE NORMAL, ESGOTO PREDIAL, DN 100 X 100 MM, JUNTA ELÁSTICA, FORNECIDO E INSTALADO EM RAMAL DE DESCARGA OU RAMAL DE ESGOTO SANITÁRIO. AF_08/2022</x:t>
  </x:si>
  <x:si>
    <x:t xml:space="preserve">1.13.1.0.17</x:t>
  </x:si>
  <x:si>
    <x:t xml:space="preserve">LUVA SIMPLES, PVC, SERIE NORMAL, ESGOTO PREDIAL, DN 100 MM, JUNTA ELÁSTICA, FORNECIDO E INSTALADO EM RAMAL DE DESCARGA OU RAMAL DE ESGOTO SANITÁRIO. AF_08/2022</x:t>
  </x:si>
  <x:si>
    <x:t xml:space="preserve">1.13.1.0.18</x:t>
  </x:si>
  <x:si>
    <x:t xml:space="preserve">LUVA SIMPLES, PVC, SERIE NORMAL, ESGOTO PREDIAL, DN 50 MM, JUNTA ELÁSTICA, FORNECIDO E INSTALADO EM RAMAL DE DESCARGA OU RAMAL DE ESGOTO SANITÁRIO. AF_08/2022</x:t>
  </x:si>
  <x:si>
    <x:t xml:space="preserve">1.13.1.0.19</x:t>
  </x:si>
  <x:si>
    <x:t xml:space="preserve">TUBO PVC, SERIE NORMAL, ESGOTO PREDIAL, DN 100 MM, FORNECIDO E INSTALADO EM RAMAL DE DESCARGA OU RAMAL DE ESGOTO SANITÁRIO.
AF_08/2022</x:t>
  </x:si>
  <x:si>
    <x:t xml:space="preserve">1.13.1.0.20</x:t>
  </x:si>
  <x:si>
    <x:t xml:space="preserve">TUBO PVC, SERIE NORMAL, ESGOTO PREDIAL, DN 40 MM, FORNECIDO E
INSTALADO EM RAMAL DE DESCARGA OU RAMAL DE ESGOTO SANITÁRIO. AF_08/2022</x:t>
  </x:si>
  <x:si>
    <x:t xml:space="preserve">1.13.1.0.21</x:t>
  </x:si>
  <x:si>
    <x:t xml:space="preserve">TUBO PVC, SERIE NORMAL, ESGOTO PREDIAL, DN 50 MM, FORNECIDO E INSTALADO EM RAMAL DE DESCARGA OU RAMAL DE ESGOTO SANITÁRIO.
AF_08/2022</x:t>
  </x:si>
  <x:si>
    <x:t xml:space="preserve">1.13.1.0.22</x:t>
  </x:si>
  <x:si>
    <x:t xml:space="preserve">TE SANITARIOEM PVC RIGIDO C/ ANÉIS PARA ESGOTO PRIMARIO,
DIAMETRO=75 X 50MM</x:t>
  </x:si>
  <x:si>
    <x:t xml:space="preserve">1.13.1.0.23</x:t>
  </x:si>
  <x:si>
    <x:t xml:space="preserve">ANEL DE VEDACAO, PVC FLEXIVEL, 100 MM, PARA SAIDA DE BACIA / VASO
SANITARIO</x:t>
  </x:si>
  <x:si>
    <x:t xml:space="preserve">1.13.2</x:t>
  </x:si>
  <x:si>
    <x:t xml:space="preserve">UNIDADE DE TRATAMENTO</x:t>
  </x:si>
  <x:si>
    <x:t xml:space="preserve">1.13.2.0.1</x:t>
  </x:si>
  <x:si>
    <x:t xml:space="preserve">ARGAMASSA TRAÇO 1:6 (EM VOLUME DE CIMENTO E AREIA MÉDIA ÚMIDA) COM ADIÇÃO DE PLASTIFICANTE PARA EMBOÇO/MASSA ÚNICA/ASSENTAMENTO DE ALVENARIA DE VEDAÇÃO, PREPARO MECÂNICO COM BETONEIRA 400 L. AF_08/2019</x:t>
  </x:si>
  <x:si>
    <x:t xml:space="preserve">1.13.2.0.2</x:t>
  </x:si>
  <x:si>
    <x:t xml:space="preserve">LASTRO DE BRITA 3</x:t>
  </x:si>
  <x:si>
    <x:t xml:space="preserve">1.13.2.0.3</x:t>
  </x:si>
  <x:si>
    <x:t xml:space="preserve">TAMPA DE CONCRETO ARMADO PARA FOSSA, D = *0,90* M, E = 0,05 M</x:t>
  </x:si>
  <x:si>
    <x:t xml:space="preserve">1.13.2.0.4</x:t>
  </x:si>
  <x:si>
    <x:t xml:space="preserve">BLOCO CERAMICO / TIJOLO VAZADO PARA ALVENARIA DE VEDACAO, 6 FUROS NA HORIZONTAL DE 9 X 14 X 24 CM (L X A X C)</x:t>
  </x:si>
  <x:si>
    <x:t xml:space="preserve">1.13.2.0.5</x:t>
  </x:si>
  <x:si>
    <x:t xml:space="preserve">ESCAVAÇÃO MECANIZADA DE VALA COM PROF. ATÉ 1,5 M (MÉDIA MONTANTE E JUSANTE/UMA COMPOSIÇÃO POR TRECHO), ESCAVADEIRA (0,8 M3), LARG. DE 1,5 M A 2,5 M, EM SOLO DE 1A CATEGORIA, LOCAIS COM BAIXO NÍVEL DE INTERFERÊNCIA. AF_09/2024</x:t>
  </x:si>
  <x:si>
    <x:t xml:space="preserve">1.13.3</x:t>
  </x:si>
  <x:si>
    <x:t xml:space="preserve">VENTILAÇÃO DO ESGOTO</x:t>
  </x:si>
  <x:si>
    <x:t xml:space="preserve">1.13.3.0.1</x:t>
  </x:si>
  <x:si>
    <x:t xml:space="preserve">1.13.3.0.2</x:t>
  </x:si>
  <x:si>
    <x:t xml:space="preserve">JOELHO 90 GRAUS, PVC, SERIE NORMAL, ESGOTO PREDIAL, DN 50 MM, JUNTA ELÁSTICA, FORNECIDO E INSTALADO EM PRUMADA DE ESGOTO SANITÁRIO OU VENTILAÇÃO. AF_08/2022</x:t>
  </x:si>
  <x:si>
    <x:t xml:space="preserve">1.13.3.0.3</x:t>
  </x:si>
  <x:si>
    <x:t xml:space="preserve">TUBO PVC, SERIE NORMAL, ESGOTO PREDIAL, DN 50 MM, FORNECIDO E
INSTALADO EM PRUMADA DE ESGOTO SANITÁRIO OU VENTILAÇÃO. AF_08/2022</x:t>
  </x:si>
  <x:si>
    <x:t xml:space="preserve">1.13.3.0.4</x:t>
  </x:si>
  <x:si>
    <x:t xml:space="preserve">TE, PVC, SERIE NORMAL, ESGOTO PREDIAL, DN 50 X 50 MM, JUNTA
ELÁSTICA, FORNECIDO E INSTALADO EM PRUMADA DE ESGOTO SANITÁRIO OU VENTILAÇÃO. AF_08/2022</x:t>
  </x:si>
  <x:si>
    <x:t xml:space="preserve">1.13.3.0.5</x:t>
  </x:si>
  <x:si>
    <x:t xml:space="preserve">TERMINAL DE VENTILAÇÃO, PVC, SÉRIE NORMAL, ESGOTO PREDIAL, DN 50 MM, JUNTA SOLDÁVEL, FORNECIDO E INSTALADO EM PRUMADA DE ESGOTO SANITÁRIO OU VENTILAÇÃO. AF_08/2022</x:t>
  </x:si>
  <x:si>
    <x:t xml:space="preserve">1.13.3.0.6</x:t>
  </x:si>
  <x:si>
    <x:t xml:space="preserve">JUNÇÃO DE REDUÇÃO INVERTIDA, PVC, SÉRIE NORMAL, ESGOTO PREDIAL, DN 75 X 50 MM, JUNTA ELÁSTICA, FORNECIDO E INSTALADO EM PRUMADA DE ESGOTO SANITÁRIO OU VENTILAÇÃO. AF_08/2022</x:t>
  </x:si>
  <x:si>
    <x:t xml:space="preserve">1.13.4</x:t>
  </x:si>
  <x:si>
    <x:t xml:space="preserve">EQUIPAMENTOS</x:t>
  </x:si>
  <x:si>
    <x:t xml:space="preserve">1.13.4.0.1</x:t>
  </x:si>
  <x:si>
    <x:t xml:space="preserve">Exaustor para banheiro, bivolt, ref.: C 80 A, da Ventokit ou similar fornecimento e instalação ( ORSE/11148 )</x:t>
  </x:si>
  <x:si>
    <x:t xml:space="preserve">1.13.4.0.2</x:t>
  </x:si>
  <x:si>
    <x:t xml:space="preserve">VASO SANITÁRIO SIFONADO COM CAIXA ACOPLADA LOUÇA BRANCA, INCLUSO ENGATE FLEXÍVEL EM PLÁSTICO BRANCO, 1/2 X 40CM FORNECIMENTO E INSTALAÇÃO. AF_01/2020</x:t>
  </x:si>
  <x:si>
    <x:t xml:space="preserve">1.13.4.0.3</x:t>
  </x:si>
  <x:si>
    <x:t xml:space="preserve">ASSENTO VASO SANITARIO INFANTIL EM PLASTICO BRANCO</x:t>
  </x:si>
  <x:si>
    <x:t xml:space="preserve">1.13.4.0.4</x:t>
  </x:si>
  <x:si>
    <x:t xml:space="preserve">LAVATÓRIO LOUÇA BRANCA COM COLUNA, *44 X 35,5* CM, PADRÃO POPULAR, INCLUSO SIFÃO FLEXÍVEL EM PVC, VÁLVULA E ENGATE FLEXÍVEL 30CM EM PLÁSTICO E COM TORNEIRA CROMADA PADRÃO POPULAR FORNECIMENTO E INSTALAÇÃO. AF_01/2020</x:t>
  </x:si>
  <x:si>
    <x:t xml:space="preserve">1.13.4.0.5</x:t>
  </x:si>
  <x:si>
    <x:t xml:space="preserve">TORNEIRA CROMADA DE MESA, 1/2" OU 3/4", PARA LAVATÓRIO, PADRÃO POPULAR FORNECIMENTO E INSTALAÇÃO. AF_01/2020</x:t>
  </x:si>
  <x:si>
    <x:t xml:space="preserve">1.13.4.0.6</x:t>
  </x:si>
  <x:si>
    <x:t xml:space="preserve">BARRA DE APOIO RETA, EM ALUMINIO, COMPRIMENTO 80 CM, FIXADA NA PAREDE FORNECIMENTO E INSTALAÇÃO. AF_01/2020</x:t>
  </x:si>
  <x:si>
    <x:t xml:space="preserve">1.13.4.0.7</x:t>
  </x:si>
  <x:si>
    <x:t xml:space="preserve">BARRA DE APOIO RETA, EM ALUMINIO, COMPRIMENTO 70 CM, FIXADA NA PAREDE FORNECIMENTO E INSTALAÇÃO. AF_01/2020</x:t>
  </x:si>
  <x:si>
    <x:t xml:space="preserve">1.13.4.0.8</x:t>
  </x:si>
  <x:si>
    <x:t xml:space="preserve">BARRA DE APOIO RETA, EM ALUMINIO, COMPRIMENTO 60 CM, FIXADA NA PAREDE FORNECIMENTO E INSTALAÇÃO. AF_01/2020</x:t>
  </x:si>
  <x:si>
    <x:t xml:space="preserve">1.13.5</x:t>
  </x:si>
  <x:si>
    <x:t xml:space="preserve">AGUA FRIA</x:t>
  </x:si>
  <x:si>
    <x:t xml:space="preserve">1.13.5.0.1</x:t>
  </x:si>
  <x:si>
    <x:t xml:space="preserve">Porta de correr em vidro temperado incolor 10mm, inclusive fechadura, puxador,
trilhos e roldanas</x:t>
  </x:si>
  <x:si>
    <x:t xml:space="preserve">1.13.5.0.2</x:t>
  </x:si>
  <x:si>
    <x:t xml:space="preserve">REGISTRO DE GAVETA BRUTO, LATÃO, ROSCÁVEL, 3/4", COM ACABAMENTO E CANOPLA CROMADOS FORNECIMENTO E INSTALAÇÃO. AF_08/2021</x:t>
  </x:si>
  <x:si>
    <x:t xml:space="preserve">1.13.5.0.3</x:t>
  </x:si>
  <x:si>
    <x:t xml:space="preserve">ADAPTADOR CURTO COM BOLSA E ROSCA PARA REGISTRO, PVC, SOLDÁVEL, DN 25MM X 3/4, INSTALADO EM RAMAL DE DISTRIBUIÇÃO DE ÁGUA FORNECIMENTO E INSTALAÇÃO. AF_06/2022</x:t>
  </x:si>
  <x:si>
    <x:t xml:space="preserve">1.13.5.0.4</x:t>
  </x:si>
  <x:si>
    <x:t xml:space="preserve">CURVA 90 GRAUS, PVC, SOLDÁVEL, DN 25MM, INSTALADO EM RAMAL DE DISTRIBUIÇÃO DE ÁGUA FORNECIMENTO E INSTALAÇÃO. AF_06/2022</x:t>
  </x:si>
  <x:si>
    <x:t xml:space="preserve">1.13.5.0.5</x:t>
  </x:si>
  <x:si>
    <x:t xml:space="preserve">CURVA 90 GRAUS, PVC, SOLDÁVEL, DN 32MM, INSTALADO EM RAMAL DE DISTRIBUIÇÃO DE ÁGUA FORNECIMENTO E INSTALAÇÃO. AF_06/2022</x:t>
  </x:si>
  <x:si>
    <x:t xml:space="preserve">1.13.5.0.6</x:t>
  </x:si>
  <x:si>
    <x:t xml:space="preserve">JOELHO 90 GRAUS, PVC, SOLDÁVEL, DN 25MM, X 3/4 INSTALADO EM RAMAL DE DISTRIBUIÇÃO DE ÁGUA FORNECIMENTO E INSTALAÇÃO.
AF_06/2022</x:t>
  </x:si>
  <x:si>
    <x:t xml:space="preserve">1.13.5.0.7</x:t>
  </x:si>
  <x:si>
    <x:t xml:space="preserve">CURVA PVC 45 GRAUS, SOLDÁVEL, DN 32 MM, INSTALADO EM RESERVAÇÃO PREDIAL DE ÁGUA FORNECIMENTO E INSTALAÇÃO.
AF_04/2024</x:t>
  </x:si>
  <x:si>
    <x:t xml:space="preserve">1.13.5.0.8</x:t>
  </x:si>
  <x:si>
    <x:t xml:space="preserve">TUBO, PVC, SOLDÁVEL, DE 25MM, INSTALADO EM RAMAL DE DISTRIBUIÇÃO DE ÁGUA FORNECIMENTO E INSTALAÇÃO. AF_06/2022</x:t>
  </x:si>
  <x:si>
    <x:t xml:space="preserve">1.13.5.0.9</x:t>
  </x:si>
  <x:si>
    <x:t xml:space="preserve">TUBO, PVC, SOLDÁVEL, DE 32MM, INSTALADO EM RAMAL DE DISTRIBUIÇÃO DE ÁGUA FORNECIMENTO E INSTALAÇÃO. AF_06/2022</x:t>
  </x:si>
  <x:si>
    <x:t xml:space="preserve">1.13.5.0.10</x:t>
  </x:si>
  <x:si>
    <x:t xml:space="preserve">CURVA 45 GRAUS, PVC, SOLDÁVEL, DN 25MM, INSTALADO EM RAMAL DE DISTRIBUIÇÃO DE ÁGUA FORNECIMENTO E INSTALAÇÃO. AF_06/2022</x:t>
  </x:si>
  <x:si>
    <x:t xml:space="preserve">1.13.5.0.11</x:t>
  </x:si>
  <x:si>
    <x:t xml:space="preserve">TE, PVC, SOLDÁVEL, DN 25MM, INSTALADO EM RAMAL DE DISTRIBUIÇÃO DE ÁGUA FORNECIMENTO E INSTALAÇÃO. AF_06/2022</x:t>
  </x:si>
  <x:si>
    <x:t xml:space="preserve">1.13.5.0.12</x:t>
  </x:si>
  <x:si>
    <x:t xml:space="preserve">TE, PVC, SOLDÁVEL, DN 32MM, INSTALADO EM RAMAL DE DISTRIBUIÇÃO DE ÁGUA FORNECIMENTO E INSTALAÇÃO. AF_06/2022</x:t>
  </x:si>
  <x:si>
    <x:t xml:space="preserve">1.13.5.0.13</x:t>
  </x:si>
  <x:si>
    <x:t xml:space="preserve">BUCHA DE REDUÇÃO, CURTA, PVC, SOLDÁVEL, DN 32 X 25 MM, INSTALADO EM RAMAL DE DISTRIBUIÇÃO DE ÁGUA FORNECIMENTO E
INSTALAÇÃO. AF_06/2022</x:t>
  </x:si>
  <x:si>
    <x:t xml:space="preserve">1.13.5.0.14</x:t>
  </x:si>
  <x:si>
    <x:t xml:space="preserve">LUVA, PVC, SOLDÁVEL, DN 32MM, INSTALADO EM RAMAL DE DISTRIBUIÇÃO DE ÁGUA FORNECIMENTO E INSTALAÇÃO. AF_06/2022</x:t>
  </x:si>
  <x:si>
    <x:t xml:space="preserve">1.13.5.0.15</x:t>
  </x:si>
  <x:si>
    <x:t xml:space="preserve">JOELHO 90 GRAUS COM BUCHA DE LATÃO, PVC, SOLDÁVEL, DN 25MM, X 3/4 INSTALADO EM RAMAL OU SUBRAMAL DE ÁGUA FORNECIMENTO E INSTALAÇÃO. AF_06/2022</x:t>
  </x:si>
  <x:si>
    <x:t xml:space="preserve">1.13.5.0.16</x:t>
  </x:si>
  <x:si>
    <x:t xml:space="preserve">JOELHO 90 GRAUS COM BUCHA DE LATÃO, PVC, SOLDÁVEL, DN 25MM, X
1/2 INSTALADO EM RAMAL OU SUBRAMAL DE ÁGUA FORNECIMENTO E INSTALAÇÃO. AF_06/2022</x:t>
  </x:si>
  <x:si>
    <x:t xml:space="preserve">1.14</x:t>
  </x:si>
  <x:si>
    <x:t xml:space="preserve">CALCULO ESTRUTURAL BANHEIROS ( PREDIO ÁREA MAIOR )</x:t>
  </x:si>
  <x:si>
    <x:t xml:space="preserve">1.14.1</x:t>
  </x:si>
  <x:si>
    <x:t xml:space="preserve">SAPATAS</x:t>
  </x:si>
  <x:si>
    <x:t xml:space="preserve">1.14.1.0.1</x:t>
  </x:si>
  <x:si>
    <x:t xml:space="preserve">FABRICAÇÃO, MONTAGEM E DESMONTAGEM DE FÔRMA PARA SAPATA CORRIDA, EM MADEIRA SERRADA, E=25 MM, 2 UTILIZAÇÕES. AF_01/2024</x:t>
  </x:si>
  <x:si>
    <x:t xml:space="preserve">1.14.1.0.2</x:t>
  </x:si>
  <x:si>
    <x:t xml:space="preserve">CONCRETO FCK = 20MPA, TRAÇO 1:2,6:2,9 (EM MASSA SECA DE CIMENTO/ AREIA MÉDIA/ SEIXO ROLADO) PREPARO MECÂNICO COM BETONEIRA 400 L. AF_05/2021</x:t>
  </x:si>
  <x:si>
    <x:t xml:space="preserve">1.14.1.0.3</x:t>
  </x:si>
  <x:si>
    <x:t xml:space="preserve">LANÇAMENTO COM USO DE BALDES, ADENSAMENTO E ACABAMENTO DE
CONCRETO EM ESTRUTURAS. AF_02/2022</x:t>
  </x:si>
  <x:si>
    <x:t xml:space="preserve">1.14.1.0.4</x:t>
  </x:si>
  <x:si>
    <x:t xml:space="preserve">ARMAÇÃO DE SAPATA ISOLADA, VIGA BALDRAME E SAPATA CORRIDA UTILIZANDO AÇO CA50 DE 10 MM MONTAGEM. AF_01/2024</x:t>
  </x:si>
  <x:si>
    <x:t xml:space="preserve">KG</x:t>
  </x:si>
  <x:si>
    <x:t xml:space="preserve">1.14.1.0.5</x:t>
  </x:si>
  <x:si>
    <x:t xml:space="preserve">ARMAÇÃO DE SAPATA ISOLADA, VIGA BALDRAME E SAPATA CORRIDA UTILIZANDO AÇO CA60 DE 5 MM MONTAGEM. AF_01/2024</x:t>
  </x:si>
  <x:si>
    <x:t xml:space="preserve">1.14.2</x:t>
  </x:si>
  <x:si>
    <x:t xml:space="preserve">VIGA BALDRAME</x:t>
  </x:si>
  <x:si>
    <x:t xml:space="preserve">1.14.2.0.1</x:t>
  </x:si>
  <x:si>
    <x:t xml:space="preserve">FABRICAÇÃO, MONTAGEM E DESMONTAGEM DE FÔRMA PARA VIGA BALDRAME, EM CHAPA DE MADEIRA COMPENSADA RESINADA, E=17 MM, 4
UTILIZAÇÕES. AF_01/2024</x:t>
  </x:si>
  <x:si>
    <x:t xml:space="preserve">1.14.2.0.2</x:t>
  </x:si>
  <x:si>
    <x:t xml:space="preserve">CONCRETO FCK = 20MPA, TRAÇO 1:2,6:2,9 (EM MASSA SECA DE CIMENTO/ AREIA MÉDIA/ SEIXO ROLADO) PREPARO MECÂNICO COM BETONEIRA
400 L. AF_05/2021</x:t>
  </x:si>
  <x:si>
    <x:t xml:space="preserve">1.14.2.0.3</x:t>
  </x:si>
  <x:si>
    <x:t xml:space="preserve">1.14.2.0.4</x:t>
  </x:si>
  <x:si>
    <x:t xml:space="preserve">ARMAÇÃO DE PILAR OU VIGA DE ESTRUTURA CONVENCIONAL DE CONCRETO ARMADO UTILIZANDO AÇO CA50 DE 10,0 MM MONTAGEM.
AF_06/2022</x:t>
  </x:si>
  <x:si>
    <x:t xml:space="preserve">1.14.2.0.5</x:t>
  </x:si>
  <x:si>
    <x:t xml:space="preserve">ARMAÇÃO DE PILAR OU VIGA DE ESTRUTURA CONVENCIONAL DE CONCRETO ARMADO UTILIZANDO AÇO CA60 DE 5,0 MM MONTAGEM.
AF_06/2022</x:t>
  </x:si>
  <x:si>
    <x:t xml:space="preserve">1.14.3</x:t>
  </x:si>
  <x:si>
    <x:t xml:space="preserve">CINTA DE AMARRAÇÃO</x:t>
  </x:si>
  <x:si>
    <x:t xml:space="preserve">1.14.3.0.1</x:t>
  </x:si>
  <x:si>
    <x:t xml:space="preserve">1.14.3.0.2</x:t>
  </x:si>
  <x:si>
    <x:t xml:space="preserve">1.14.3.0.3</x:t>
  </x:si>
  <x:si>
    <x:t xml:space="preserve">1.14.3.0.4</x:t>
  </x:si>
  <x:si>
    <x:t xml:space="preserve">1.14.3.0.5</x:t>
  </x:si>
  <x:si>
    <x:t xml:space="preserve">1.14.4</x:t>
  </x:si>
  <x:si>
    <x:t xml:space="preserve">PILARES</x:t>
  </x:si>
  <x:si>
    <x:t xml:space="preserve">1.14.4.0.1</x:t>
  </x:si>
  <x:si>
    <x:t xml:space="preserve">FABRICAÇÃO DE FÔRMA PARA PILARES E ESTRUTURAS SIMILARES, EM
MADEIRA SERRADA, E=25 MM. AF_09/2020</x:t>
  </x:si>
  <x:si>
    <x:t xml:space="preserve">1.14.4.0.2</x:t>
  </x:si>
  <x:si>
    <x:t xml:space="preserve">1.14.4.0.3</x:t>
  </x:si>
  <x:si>
    <x:t xml:space="preserve">1.14.4.0.4</x:t>
  </x:si>
  <x:si>
    <x:t xml:space="preserve">ARMAÇÃO DE PILAR OU VIGA DE ESTRUTURA CONVENCIONAL DE CONCRETO ARMADO UTILIZANDO AÇO CA50 DE 10,0 MM MONTAGEM. AF_06/2022</x:t>
  </x:si>
  <x:si>
    <x:t xml:space="preserve">1.14.4.0.5</x:t>
  </x:si>
  <x:si>
    <x:t xml:space="preserve">1.15</x:t>
  </x:si>
  <x:si>
    <x:t xml:space="preserve">PPCI</x:t>
  </x:si>
  <x:si>
    <x:t xml:space="preserve">1.15.0.0.1</x:t>
  </x:si>
  <x:si>
    <x:t xml:space="preserve">PLACA DE SINALIZACAO DE SEGURANCA CONTRA INCENDIO, FOTOLUMINESCENTE, RETANGULAR, *20 X 40* CM, EM PVC *2* MM ANTI CHAMAS (SIMBOLOS, CORES E PICTOGRAMAS CONFORME NBR 16820)</x:t>
  </x:si>
  <x:si>
    <x:t xml:space="preserve">1.15.0.0.2</x:t>
  </x:si>
  <x:si>
    <x:t xml:space="preserve">EXTINTOR DE INCENDIO PORTATIL PÓ QUIMICO ABC 4 KG (01505/ORSE)</x:t>
  </x:si>
  <x:si>
    <x:t xml:space="preserve">1.15.0.0.3</x:t>
  </x:si>
  <x:si>
    <x:t xml:space="preserve">PLACA DE SINALIZAÇÃO, FOTOLUMINESCENTE, EM PVC. COM LOGOTIPO "EXTINTOR DE INCENDIO PORTATIL" PLACA E5 ( ORSE 12888 )</x:t>
  </x:si>
  <x:si>
    <x:t xml:space="preserve">1.15.0.0.4</x:t>
  </x:si>
  <x:si>
    <x:t xml:space="preserve">BLOCO AUTÔNOMO, LUZ DE EMERGÊNCIA ( 07860/ORSE)</x:t>
  </x:si>
  <x:si>
    <x:t xml:space="preserve">1.15.0.0.5</x:t>
  </x:si>
  <x:si>
    <x:t xml:space="preserve">LUMINÁRIA DE EMERGÊNCIA, COM 30 LÂMPADAS LED DE 2 W, SEM REATOR FORNECIMENTO E INSTALAÇÃO. AF_09/2024</x:t>
  </x:si>
  <x:si>
    <x:t xml:space="preserve">TOTAL GERAL</x:t>
  </x:si>
  <x:si>
    <x:t xml:space="preserve">RESUMO EXECUTIVO DA MEDIÇÃO</x:t>
  </x:si>
  <x:si>
    <x:t xml:space="preserve">VALOR DO CONTRATO</x:t>
  </x:si>
  <x:si>
    <x:t xml:space="preserve">MEDIÇÃO DO PERÍODO</x:t>
  </x:si>
  <x:si>
    <x:t xml:space="preserve">ACUMULADO EXECUTADO</x:t>
  </x:si>
  <x:si>
    <x:t xml:space="preserve">% EXECUTADO</x:t>
  </x:si>
  <x:si>
    <x:t xml:space="preserve">SALDO CONTRATUAL</x:t>
  </x:si>
  <x:si>
    <x:t xml:space="preserve">Os valores desta medição estão de acordo com o cronograma físico-financeiro e com as condições contratuais estabelecidas.</x:t>
  </x:si>
  <x:si>
    <x:t xml:space="preserve">Luiz Guilherme Schutz Fontela</x:t>
  </x:si>
  <x:si>
    <x:t xml:space="preserve">Eng civil Vitor Lindemann  Crea  Rs 216676</x:t>
  </x:si>
  <x:si>
    <x:t xml:space="preserve">CREA/RS 215.203</x:t>
  </x:si>
  <x:si>
    <x:t xml:space="preserve">BASE E CÁLCULOS — Fórmulas expostas para conferência</x:t>
  </x:si>
  <x:si>
    <x:t xml:space="preserve">Qtd. Contratada</x:t>
  </x:si>
  <x:si>
    <x:t xml:space="preserve">Total Contratado</x:t>
  </x:si>
  <x:si>
    <x:t xml:space="preserve">Qtd. Anterior</x:t>
  </x:si>
  <x:si>
    <x:t xml:space="preserve">Qtd. Período</x:t>
  </x:si>
  <x:si>
    <x:t xml:space="preserve">Qtd. Acum.</x:t>
  </x:si>
  <x:si>
    <x:t xml:space="preserve">Fin. Anterior</x:t>
  </x:si>
  <x:si>
    <x:t xml:space="preserve">Fin. Período</x:t>
  </x:si>
  <x:si>
    <x:t xml:space="preserve">Fin. Acum.</x:t>
  </x:si>
  <x:si>
    <x:t xml:space="preserve">% Executado</x:t>
  </x:si>
  <x:si>
    <x:t xml:space="preserve">Saldo Qtd.</x:t>
  </x:si>
  <x:si>
    <x:t xml:space="preserve">Saldo R$</x:t>
  </x:si>
  <x:si>
    <x:t xml:space="preserve">TOTAIS</x:t>
  </x:si>
  <x:si>
    <x:t xml:space="preserve">SNAPSHOT — BM-01 · gerado em 01/07/2026, 20:59:28</x:t>
  </x:si>
  <x:si>
    <x:t xml:space="preserve">V. Unit. (R$)</x:t>
  </x:si>
  <x:si>
    <x:t xml:space="preserve">Fin. Período (R$)</x:t>
  </x:si>
  <x:si>
    <x:t xml:space="preserve">Fin. Acum. (R$)</x:t>
  </x:si>
  <x:si>
    <x:t xml:space="preserve">Este snapshot registra os valores exatos utilizados no fechamento desta medição. Valores em Reais (R$), calculados em centavos inteiros para preservar a integridade contábil.</x:t>
  </x:si>
</x:sst>
</file>

<file path=xl/styles.xml><?xml version="1.0" encoding="utf-8"?>
<x:styleSheet xmlns:x="http://schemas.openxmlformats.org/spreadsheetml/2006/main">
  <x:numFmts count="6">
    <x:numFmt numFmtId="164" formatCode="[$R$-pt-BR] #,##0.00;[Red]-[$R$-pt-BR] #,##0.00;[$R$-pt-BR] &quot;-&quot;"/>
    <x:numFmt numFmtId="200" formatCode="#,##0.00"/>
    <x:numFmt numFmtId="201" formatCode="R$ #,##0.00"/>
    <x:numFmt numFmtId="202" formatCode="0.00%"/>
    <x:numFmt numFmtId="203" formatCode="0"/>
    <x:numFmt numFmtId="204" formatCode="@"/>
  </x:numFmts>
  <x:fonts count="75">
    <x:font>
      <x:sz val="11"/>
      <x:color theme="1"/>
      <x:name val="Calibri"/>
    </x:font>
    <x:font>
      <x:b/>
      <x:sz val="9"/>
      <x:color rgb="FFC8A66A"/>
      <x:name val="Calibri"/>
    </x:font>
    <x:font>
      <x:b/>
      <x:sz val="26"/>
      <x:color rgb="FF252A33"/>
      <x:name val="Calibri"/>
    </x:font>
    <x:font>
      <x:b/>
      <x:sz val="13"/>
      <x:color rgb="FFC8A66A"/>
      <x:name val="Calibri"/>
    </x:font>
    <x:font>
      <x:sz val="10"/>
      <x:color rgb="FFC8A66A"/>
      <x:name val="Calibri"/>
    </x:font>
    <x:font>
      <x:b/>
      <x:sz val="8"/>
      <x:color rgb="FF69717D"/>
      <x:name val="Calibri"/>
    </x:font>
    <x:font>
      <x:b/>
      <x:sz val="10"/>
      <x:color rgb="FF20242B"/>
      <x:name val="Calibri"/>
    </x:font>
    <x:font>
      <x:i/>
      <x:sz val="8"/>
      <x:color rgb="FF69717D"/>
      <x:name val="Calibri"/>
    </x:font>
    <x:font>
      <x:b/>
      <x:sz val="8"/>
      <x:color rgb="FFC8A66A"/>
      <x:name val="Calibri"/>
    </x:font>
    <x:font>
      <x:b/>
      <x:sz val="20"/>
      <x:color rgb="FFFFFFFF"/>
      <x:name val="Calibri"/>
    </x:font>
    <x:font>
      <x:b/>
      <x:sz val="9"/>
      <x:color rgb="FFE7C892"/>
      <x:name val="Calibri"/>
    </x:font>
    <x:font>
      <x:b/>
      <x:sz val="13"/>
      <x:color rgb="FFFFFFFF"/>
      <x:name val="Calibri"/>
    </x:font>
    <x:font>
      <x:b/>
      <x:sz val="10"/>
      <x:color rgb="FFE7C892"/>
      <x:name val="Calibri"/>
    </x:font>
    <x:font>
      <x:b/>
      <x:sz val="10"/>
      <x:color rgb="FFFFFFFF"/>
      <x:name val="Calibri"/>
    </x:font>
    <x:font>
      <x:b/>
      <x:sz val="9"/>
      <x:color rgb="FFFFFFFF"/>
      <x:name val="Calibri"/>
    </x:font>
    <x:font>
      <x:b/>
      <x:sz val="9"/>
      <x:color rgb="FF20242B"/>
      <x:name val="Calibri"/>
    </x:font>
    <x:font>
      <x:b/>
      <x:sz val="9"/>
      <x:color rgb="FF252A33"/>
      <x:name val="Calibri"/>
    </x:font>
    <x:font>
      <x:sz val="9"/>
      <x:color rgb="FF20242B"/>
      <x:name val="Calibri"/>
    </x:font>
    <x:font>
      <x:b/>
      <x:sz val="10"/>
      <x:color rgb="FF69717D"/>
      <x:name val="Calibri"/>
    </x:font>
    <x:font>
      <x:b/>
      <x:sz val="8"/>
      <x:color rgb="FF252A33"/>
      <x:name val="Calibri"/>
    </x:font>
    <x:font>
      <x:b/>
      <x:sz val="16"/>
      <x:color rgb="FF252A33"/>
      <x:name val="Calibri"/>
    </x:font>
    <x:font>
      <x:b/>
      <x:sz val="16"/>
      <x:color rgb="FFC8A66A"/>
      <x:name val="Calibri"/>
    </x:font>
    <x:font>
      <x:i/>
      <x:sz val="9"/>
      <x:color rgb="FF20242B"/>
      <x:name val="Calibri"/>
    </x:font>
    <x:font>
      <x:b/>
      <x:sz val="10"/>
      <x:color rgb="FF252A33"/>
      <x:name val="Calibri"/>
    </x:font>
    <x:font>
      <x:sz val="8"/>
      <x:color rgb="FF69717D"/>
      <x:name val="Calibri"/>
    </x:font>
    <x:font>
      <x:b/>
      <x:sz val="11"/>
      <x:color rgb="FFFFFFFF"/>
      <x:name val="Calibri"/>
    </x:font>
    <x:font>
      <x:sz val="9"/>
      <x:name val="Calibri"/>
    </x:font>
    <x:font>
      <x:sz val="10"/>
      <x:color rgb="FF202833"/>
      <x:name val="Aptos"/>
    </x:font>
    <x:font>
      <x:b/>
      <x:sz val="10"/>
      <x:color rgb="FF202833"/>
      <x:name val="Aptos"/>
    </x:font>
    <x:font>
      <x:i/>
      <x:sz val="10"/>
      <x:color rgb="FF202833"/>
      <x:name val="Aptos"/>
    </x:font>
    <x:font>
      <x:b/>
      <x:sz val="20"/>
      <x:color rgb="FFFFFFFF"/>
      <x:name val="Aptos Display"/>
    </x:font>
    <x:font>
      <x:b/>
      <x:sz val="15"/>
      <x:color rgb="FFFFFFFF"/>
      <x:name val="Aptos Display"/>
    </x:font>
    <x:font>
      <x:b/>
      <x:sz val="11"/>
      <x:color rgb="FFC79A45"/>
      <x:name val="Aptos"/>
    </x:font>
    <x:font>
      <x:b/>
      <x:sz val="8"/>
      <x:color rgb="FF141922"/>
      <x:name val="Aptos"/>
    </x:font>
    <x:font>
      <x:b/>
      <x:sz val="8"/>
      <x:color rgb="FF8C98A6"/>
      <x:name val="Aptos"/>
    </x:font>
    <x:font>
      <x:b/>
      <x:sz val="18"/>
      <x:color rgb="FF141922"/>
      <x:name val="Aptos Display"/>
    </x:font>
    <x:font>
      <x:sz val="8"/>
      <x:color rgb="FFC79A45"/>
      <x:name val="Aptos"/>
    </x:font>
    <x:font>
      <x:b/>
      <x:sz val="8"/>
      <x:color rgb="FF2E3745"/>
      <x:name val="Aptos"/>
    </x:font>
    <x:font>
      <x:i/>
      <x:sz val="8"/>
      <x:color rgb="FFFFFFFF"/>
      <x:name val="Aptos"/>
    </x:font>
    <x:font>
      <x:b/>
      <x:sz val="8"/>
      <x:color rgb="FFFFFFFF"/>
      <x:name val="Aptos"/>
    </x:font>
    <x:font>
      <x:sz val="8"/>
      <x:color rgb="FF202833"/>
      <x:name val="Aptos"/>
    </x:font>
    <x:font>
      <x:b/>
      <x:sz val="8"/>
      <x:color rgb="FF202833"/>
      <x:name val="Aptos"/>
    </x:font>
    <x:font>
      <x:i/>
      <x:sz val="8"/>
      <x:color rgb="FF202833"/>
      <x:name val="Aptos"/>
    </x:font>
    <x:font>
      <x:b/>
      <x:sz val="13"/>
      <x:color rgb="FFFFFFFF"/>
      <x:name val="Aptos Display"/>
    </x:font>
    <x:font>
      <x:b/>
      <x:sz val="9"/>
      <x:color rgb="FFFFFFFF"/>
      <x:name val="Aptos"/>
    </x:font>
    <x:font>
      <x:b/>
      <x:sz val="9"/>
      <x:color rgb="FF202833"/>
      <x:name val="Aptos"/>
    </x:font>
    <x:font>
      <x:sz val="8"/>
      <x:color rgb="FF2E3745"/>
      <x:name val="Aptos"/>
    </x:font>
    <x:font>
      <x:b/>
      <x:sz val="10"/>
      <x:color rgb="FFFFFFFF"/>
      <x:name val="Aptos"/>
    </x:font>
    <x:font>
      <x:b/>
      <x:sz val="11"/>
      <x:color rgb="FFFFFFFF"/>
      <x:name val="Aptos Display"/>
    </x:font>
    <x:font>
      <x:b/>
      <x:sz val="12"/>
      <x:color rgb="FF141922"/>
      <x:name val="Aptos Display"/>
    </x:font>
    <x:font>
      <x:i/>
      <x:sz val="9"/>
      <x:color rgb="FF2E3745"/>
      <x:name val="Aptos"/>
    </x:font>
    <x:font>
      <x:b/>
      <x:sz val="9"/>
      <x:color rgb="FF141922"/>
      <x:name val="Aptos"/>
    </x:font>
    <x:font>
      <x:b/>
      <x:sz val="12"/>
      <x:color rgb="FFFFFFFF"/>
      <x:name val="Aptos Display"/>
    </x:font>
    <x:font>
      <x:i/>
      <x:sz val="8"/>
      <x:color rgb="FF2E3745"/>
      <x:name val="Aptos"/>
    </x:font>
    <x:font>
      <x:sz val="9"/>
      <x:color rgb="FF202833"/>
      <x:name val="Aptos"/>
    </x:font>
    <x:font>
      <x:b/>
      <x:sz val="18"/>
      <x:color rgb="FFFFFFFF"/>
      <x:name val="Aptos Display"/>
    </x:font>
    <x:font>
      <x:b/>
      <x:sz val="16"/>
      <x:color rgb="FF141922"/>
      <x:name val="Aptos Display"/>
    </x:font>
    <x:font>
      <x:b/>
      <x:sz val="15"/>
      <x:color rgb="FF141922"/>
      <x:name val="Aptos Display"/>
    </x:font>
    <x:font>
      <x:b/>
      <x:sz val="9"/>
      <x:color rgb="FF2E3745"/>
      <x:name val="Aptos"/>
    </x:font>
    <x:font>
      <x:b/>
      <x:sz val="16"/>
      <x:color rgb="FFFFFFFF"/>
      <x:name val="Aptos Display"/>
    </x:font>
    <x:font>
      <x:sz val="8"/>
      <x:color rgb="FFFFFFFF"/>
      <x:name val="Calibri"/>
    </x:font>
    <x:font>
      <x:sz val="10"/>
      <x:color rgb="FFFFFFFF"/>
      <x:name val="Aptos"/>
    </x:font>
    <x:font>
      <x:b/>
      <x:sz val="13"/>
      <x:color rgb="FFC79A45"/>
      <x:name val="Aptos Display"/>
    </x:font>
    <x:font>
      <x:sz val="9"/>
      <x:color rgb="FF1F2937"/>
      <x:name val="Aptos"/>
    </x:font>
    <x:font>
      <x:b/>
      <x:sz val="9"/>
      <x:color rgb="FF1F2937"/>
      <x:name val="Aptos"/>
    </x:font>
    <x:font>
      <x:i/>
      <x:sz val="9"/>
      <x:color rgb="FF1F2937"/>
      <x:name val="Aptos"/>
    </x:font>
    <x:font>
      <x:b/>
      <x:sz val="10"/>
      <x:color rgb="FF1F2937"/>
      <x:name val="Aptos"/>
    </x:font>
    <x:font>
      <x:sz val="9"/>
      <x:color rgb="FFDDE6F0"/>
      <x:name val="Aptos"/>
    </x:font>
    <x:font>
      <x:b/>
      <x:sz val="9"/>
      <x:color rgb="FFC79A45"/>
      <x:name val="Aptos"/>
    </x:font>
    <x:font>
      <x:b/>
      <x:sz val="11"/>
      <x:color rgb="FF111827"/>
      <x:name val="Aptos Display"/>
    </x:font>
    <x:font>
      <x:b/>
      <x:sz val="8"/>
      <x:color rgb="FF1F2937"/>
      <x:name val="Aptos"/>
    </x:font>
    <x:font>
      <x:b/>
      <x:i/>
      <x:sz val="8"/>
      <x:color rgb="FF1F2937"/>
      <x:name val="Aptos"/>
    </x:font>
    <x:font>
      <x:b/>
      <x:sz val="9"/>
      <x:color rgb="FFDDE6F0"/>
      <x:name val="Aptos"/>
    </x:font>
    <x:font>
      <x:sz val="8"/>
      <x:color rgb="FFFFFFFF"/>
      <x:name val="Aptos"/>
    </x:font>
    <x:font>
      <x:sz val="8"/>
      <x:color rgb="FFFFFFFF"/>
      <x:name val="Aptos"/>
    </x:font>
  </x:fonts>
  <x:fills count="30">
    <x:fill>
      <x:patternFill patternType="none"/>
    </x:fill>
    <x:fill>
      <x:patternFill patternType="gray125"/>
    </x:fill>
    <x:fill>
      <x:patternFill patternType="solid">
        <x:fgColor rgb="FF252A33"/>
      </x:patternFill>
    </x:fill>
    <x:fill>
      <x:patternFill patternType="solid">
        <x:fgColor rgb="FFC8A66A"/>
      </x:patternFill>
    </x:fill>
    <x:fill>
      <x:patternFill patternType="solid">
        <x:fgColor rgb="FFEEF0F2"/>
      </x:patternFill>
    </x:fill>
    <x:fill>
      <x:patternFill patternType="solid">
        <x:fgColor rgb="FF14171D"/>
      </x:patternFill>
    </x:fill>
    <x:fill>
      <x:patternFill patternType="solid">
        <x:fgColor rgb="FF363C49"/>
      </x:patternFill>
    </x:fill>
    <x:fill>
      <x:patternFill patternType="solid">
        <x:fgColor rgb="FFF5EEDD"/>
      </x:patternFill>
    </x:fill>
    <x:fill>
      <x:patternFill patternType="solid">
        <x:fgColor rgb="FFFAFBFC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41922"/>
      </x:patternFill>
    </x:fill>
    <x:fill>
      <x:patternFill patternType="solid">
        <x:fgColor rgb="FFC79A45"/>
      </x:patternFill>
    </x:fill>
    <x:fill>
      <x:patternFill patternType="solid">
        <x:fgColor rgb="FFF1F4F7"/>
      </x:patternFill>
    </x:fill>
    <x:fill>
      <x:patternFill patternType="solid">
        <x:fgColor rgb="FF2E3745"/>
      </x:patternFill>
    </x:fill>
    <x:fill>
      <x:patternFill patternType="solid">
        <x:fgColor rgb="FFF6EEDC"/>
      </x:patternFill>
    </x:fill>
    <x:fill>
      <x:patternFill patternType="solid">
        <x:fgColor rgb="FFEEF3F8"/>
      </x:patternFill>
    </x:fill>
    <x:fill>
      <x:patternFill patternType="solid">
        <x:fgColor rgb="FFFAFBFC"/>
      </x:patternFill>
    </x:fill>
    <x:fill>
      <x:patternFill patternType="solid">
        <x:fgColor rgb="FF141922"/>
      </x:patternFill>
    </x:fill>
    <x:fill>
      <x:patternFill patternType="solid">
        <x:fgColor rgb="FFFFFFFF"/>
      </x:patternFill>
    </x:fill>
    <x:fill>
      <x:patternFill patternType="solid">
        <x:fgColor rgb="FF2E3745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0FA88A"/>
      </x:patternFill>
    </x:fill>
    <x:fill>
      <x:patternFill patternType="solid">
        <x:fgColor rgb="FFF6EEDC"/>
      </x:patternFill>
    </x:fill>
    <x:fill>
      <x:patternFill patternType="solid">
        <x:fgColor rgb="FFF3F5F7"/>
      </x:patternFill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111827"/>
      </x:patternFill>
    </x:fill>
    <x:fill>
      <x:patternFill patternType="solid">
        <x:fgColor rgb="FF0FA88A"/>
      </x:patternFill>
    </x:fill>
  </x:fills>
  <x:borders count="139">
    <x:border/>
    <x:border>
      <x:left style="medium">
        <x:color rgb="FFC8A66A"/>
      </x:left>
    </x:border>
    <x:border>
      <x:bottom style="hair">
        <x:color rgb="FF69717D"/>
      </x:bottom>
    </x:border>
    <x:border>
      <x:bottom style="medium">
        <x:color rgb="FFC8A66A"/>
      </x:bottom>
    </x:border>
    <x:border>
      <x:top style="thin">
        <x:color rgb="FF363C49"/>
      </x:top>
    </x:border>
    <x:border/>
    <x:border>
      <x:left style="medium">
        <x:color rgb="FFC8A66A"/>
      </x:left>
    </x:border>
    <x:border>
      <x:bottom style="hair">
        <x:color rgb="FF69717D"/>
      </x:bottom>
    </x:border>
    <x:border>
      <x:bottom style="medium">
        <x:color rgb="FFC8A66A"/>
      </x:bottom>
    </x:border>
    <x:border>
      <x:top style="thin">
        <x:color rgb="FF363C49"/>
      </x:top>
    </x:border>
    <x:border>
      <x:left style="thin">
        <x:color rgb="FF141922"/>
      </x:left>
      <x:top style="thin">
        <x:color rgb="FF141922"/>
      </x:top>
    </x:border>
    <x:border>
      <x:top style="thin">
        <x:color rgb="FF141922"/>
      </x:top>
    </x:border>
    <x:border>
      <x:right style="thin">
        <x:color rgb="FF141922"/>
      </x:right>
      <x:top style="thin">
        <x:color rgb="FF141922"/>
      </x:top>
    </x:border>
    <x:border>
      <x:left style="thin">
        <x:color rgb="FF141922"/>
      </x:left>
    </x:border>
    <x:border>
      <x:right style="thin">
        <x:color rgb="FF141922"/>
      </x:right>
    </x:border>
    <x:border>
      <x:left style="thin">
        <x:color rgb="FF141922"/>
      </x:left>
      <x:bottom style="thin">
        <x:color rgb="FF141922"/>
      </x:bottom>
    </x:border>
    <x:border>
      <x:bottom style="thin">
        <x:color rgb="FF141922"/>
      </x:bottom>
    </x:border>
    <x:border>
      <x:right style="thin">
        <x:color rgb="FF141922"/>
      </x:right>
      <x:bottom style="thin">
        <x:color rgb="FF141922"/>
      </x:bottom>
    </x:border>
    <x:border>
      <x:left style="thin">
        <x:color rgb="FF141922"/>
      </x:left>
      <x:top style="thin">
        <x:color rgb="FF141922"/>
      </x:top>
    </x:border>
    <x:border>
      <x:top style="thin">
        <x:color rgb="FF141922"/>
      </x:top>
    </x:border>
    <x:border>
      <x:right style="thin">
        <x:color rgb="FF141922"/>
      </x:right>
      <x:top style="thin">
        <x:color rgb="FF141922"/>
      </x:top>
    </x:border>
    <x:border>
      <x:left style="thin">
        <x:color rgb="FF141922"/>
      </x:left>
    </x:border>
    <x:border>
      <x:right style="thin">
        <x:color rgb="FF141922"/>
      </x:right>
    </x:border>
    <x:border>
      <x:left style="thin">
        <x:color rgb="FF141922"/>
      </x:left>
      <x:bottom style="thin">
        <x:color rgb="FF141922"/>
      </x:bottom>
    </x:border>
    <x:border>
      <x:bottom style="thin">
        <x:color rgb="FF141922"/>
      </x:bottom>
    </x:border>
    <x:border>
      <x:right style="thin">
        <x:color rgb="FF141922"/>
      </x:right>
      <x:bottom style="thin">
        <x:color rgb="FF141922"/>
      </x:bottom>
    </x:border>
    <x:border>
      <x:left style="thin">
        <x:color rgb="FFDCE2E8"/>
      </x:left>
      <x:right style="thin">
        <x:color rgb="FFDCE2E8"/>
      </x:right>
      <x:top style="thin">
        <x:color rgb="FFDCE2E8"/>
      </x:top>
    </x:border>
    <x:border>
      <x:left style="thin">
        <x:color rgb="FFDCE2E8"/>
      </x:left>
      <x:right style="thin">
        <x:color rgb="FFDCE2E8"/>
      </x:right>
    </x:border>
    <x:border>
      <x:left style="thin">
        <x:color rgb="FFDCE2E8"/>
      </x:left>
      <x:right style="thin">
        <x:color rgb="FFDCE2E8"/>
      </x:right>
      <x:bottom style="thin">
        <x:color rgb="FFDCE2E8"/>
      </x:bottom>
    </x:border>
    <x:border>
      <x:left style="thin">
        <x:color rgb="FFDCE2E8"/>
      </x:left>
      <x:right style="thin">
        <x:color rgb="FFDCE2E8"/>
      </x:right>
      <x:top style="thin">
        <x:color rgb="FFDCE2E8"/>
      </x:top>
    </x:border>
    <x:border>
      <x:left style="thin">
        <x:color rgb="FFDCE2E8"/>
      </x:left>
      <x:right style="thin">
        <x:color rgb="FFDCE2E8"/>
      </x:right>
    </x:border>
    <x:border>
      <x:left style="thin">
        <x:color rgb="FFDCE2E8"/>
      </x:left>
      <x:right style="thin">
        <x:color rgb="FFDCE2E8"/>
      </x:right>
      <x:bottom style="thin">
        <x:color rgb="FFDCE2E8"/>
      </x:bottom>
    </x:border>
    <x:border>
      <x:left style="thin">
        <x:color rgb="FFDCE2E8"/>
      </x:left>
      <x:right style="thin">
        <x:color rgb="FFDCE2E8"/>
      </x:right>
      <x:top style="thin">
        <x:color rgb="FFDCE2E8"/>
      </x:top>
      <x:bottom style="hair">
        <x:color rgb="FF69717D"/>
      </x:bottom>
    </x:border>
    <x:border>
      <x:left style="thin">
        <x:color rgb="FFDCE2E8"/>
      </x:left>
      <x:right style="thin">
        <x:color rgb="FFDCE2E8"/>
      </x:right>
      <x:bottom style="hair">
        <x:color rgb="FF69717D"/>
      </x:bottom>
    </x:border>
    <x:border>
      <x:left style="thin">
        <x:color rgb="FFDCE2E8"/>
      </x:left>
      <x:right style="thin">
        <x:color rgb="FFDCE2E8"/>
      </x:right>
      <x:top style="thin">
        <x:color rgb="FFDCE2E8"/>
      </x:top>
      <x:bottom style="hair">
        <x:color rgb="FF69717D"/>
      </x:bottom>
    </x:border>
    <x:border>
      <x:left style="thin">
        <x:color rgb="FFDCE2E8"/>
      </x:left>
      <x:right style="thin">
        <x:color rgb="FFDCE2E8"/>
      </x:right>
      <x:bottom style="hair">
        <x:color rgb="FF69717D"/>
      </x:bottom>
    </x:border>
    <x:border>
      <x:left style="thin">
        <x:color rgb="FFDCE2E8"/>
      </x:left>
      <x:top style="thin">
        <x:color rgb="FFDCE2E8"/>
      </x:top>
      <x:bottom style="thin">
        <x:color rgb="FFDCE2E8"/>
      </x:bottom>
    </x:border>
    <x:border>
      <x:left style="medium">
        <x:color rgb="FFC8A66A"/>
      </x:left>
      <x:top style="thin">
        <x:color rgb="FFDCE2E8"/>
      </x:top>
      <x:bottom style="thin">
        <x:color rgb="FFDCE2E8"/>
      </x:bottom>
    </x:border>
    <x:border>
      <x:left style="medium">
        <x:color rgb="FFC8A66A"/>
      </x:left>
      <x:right style="thin">
        <x:color rgb="FFDCE2E8"/>
      </x:right>
      <x:top style="thin">
        <x:color rgb="FFDCE2E8"/>
      </x:top>
      <x:bottom style="thin">
        <x:color rgb="FFDCE2E8"/>
      </x:bottom>
    </x:border>
    <x:border>
      <x:left style="thin">
        <x:color rgb="FFDCE2E8"/>
      </x:left>
      <x:top style="thin">
        <x:color rgb="FFDCE2E8"/>
      </x:top>
      <x:bottom style="thin">
        <x:color rgb="FFDCE2E8"/>
      </x:bottom>
    </x:border>
    <x:border>
      <x:left style="medium">
        <x:color rgb="FFC8A66A"/>
      </x:left>
      <x:top style="thin">
        <x:color rgb="FFDCE2E8"/>
      </x:top>
      <x:bottom style="thin">
        <x:color rgb="FFDCE2E8"/>
      </x:bottom>
    </x:border>
    <x:border>
      <x:left style="medium">
        <x:color rgb="FFC8A66A"/>
      </x:left>
      <x:right style="thin">
        <x:color rgb="FFDCE2E8"/>
      </x:right>
      <x:top style="thin">
        <x:color rgb="FFDCE2E8"/>
      </x:top>
      <x:bottom style="thin">
        <x:color rgb="FFDCE2E8"/>
      </x:bottom>
    </x:border>
    <x:border>
      <x:top style="thin">
        <x:color rgb="FFDCE2E8"/>
      </x:top>
      <x:bottom style="thin">
        <x:color rgb="FFDCE2E8"/>
      </x:bottom>
    </x:border>
    <x:border>
      <x:right style="thin">
        <x:color rgb="FFDCE2E8"/>
      </x:right>
      <x:top style="thin">
        <x:color rgb="FFDCE2E8"/>
      </x:top>
      <x:bottom style="thin">
        <x:color rgb="FFDCE2E8"/>
      </x:bottom>
    </x:border>
    <x:border>
      <x:top style="thin">
        <x:color rgb="FFDCE2E8"/>
      </x:top>
      <x:bottom style="thin">
        <x:color rgb="FFDCE2E8"/>
      </x:bottom>
    </x:border>
    <x:border>
      <x:right style="thin">
        <x:color rgb="FFDCE2E8"/>
      </x:right>
      <x:top style="thin">
        <x:color rgb="FFDCE2E8"/>
      </x:top>
      <x:bottom style="thin">
        <x:color rgb="FFDCE2E8"/>
      </x:bottom>
    </x:border>
    <x:border>
      <x:left style="thin">
        <x:color rgb="FFC79A45"/>
      </x:left>
      <x:right style="thin">
        <x:color rgb="FFC79A45"/>
      </x:right>
      <x:top style="thin">
        <x:color rgb="FFC79A45"/>
      </x:top>
      <x:bottom style="thin">
        <x:color rgb="FFDCE2E8"/>
      </x:bottom>
    </x:border>
    <x:border>
      <x:left style="thin">
        <x:color rgb="FFC79A45"/>
      </x:left>
      <x:right style="thin">
        <x:color rgb="FFC79A45"/>
      </x:right>
      <x:top style="thin">
        <x:color rgb="FFDCE2E8"/>
      </x:top>
      <x:bottom style="thin">
        <x:color rgb="FFC79A45"/>
      </x:bottom>
    </x:border>
    <x:border>
      <x:left style="thin">
        <x:color rgb="FFC79A45"/>
      </x:left>
      <x:right style="thin">
        <x:color rgb="FFC79A45"/>
      </x:right>
      <x:top style="thin">
        <x:color rgb="FFC79A45"/>
      </x:top>
      <x:bottom style="thin">
        <x:color rgb="FFDCE2E8"/>
      </x:bottom>
    </x:border>
    <x:border>
      <x:left style="thin">
        <x:color rgb="FFC79A45"/>
      </x:left>
      <x:right style="thin">
        <x:color rgb="FFC79A45"/>
      </x:right>
      <x:top style="thin">
        <x:color rgb="FFDCE2E8"/>
      </x:top>
      <x:bottom style="thin">
        <x:color rgb="FFC79A45"/>
      </x:bottom>
    </x:border>
    <x:border>
      <x:left style="thin">
        <x:color rgb="FF141922"/>
      </x:left>
      <x:top style="thin">
        <x:color rgb="FF141922"/>
      </x:top>
      <x:bottom style="thin">
        <x:color rgb="FF141922"/>
      </x:bottom>
    </x:border>
    <x:border>
      <x:top style="thin">
        <x:color rgb="FF141922"/>
      </x:top>
      <x:bottom style="thin">
        <x:color rgb="FF141922"/>
      </x:bottom>
    </x:border>
    <x:border>
      <x:right style="thin">
        <x:color rgb="FF141922"/>
      </x:right>
      <x:top style="thin">
        <x:color rgb="FF141922"/>
      </x:top>
      <x:bottom style="thin">
        <x:color rgb="FF141922"/>
      </x:bottom>
    </x:border>
    <x:border>
      <x:left style="thin">
        <x:color rgb="FF141922"/>
      </x:left>
      <x:top style="thin">
        <x:color rgb="FF141922"/>
      </x:top>
      <x:bottom style="thin">
        <x:color rgb="FF141922"/>
      </x:bottom>
    </x:border>
    <x:border>
      <x:top style="thin">
        <x:color rgb="FF141922"/>
      </x:top>
      <x:bottom style="thin">
        <x:color rgb="FF141922"/>
      </x:bottom>
    </x:border>
    <x:border>
      <x:right style="thin">
        <x:color rgb="FF141922"/>
      </x:right>
      <x:top style="thin">
        <x:color rgb="FF141922"/>
      </x:top>
      <x:bottom style="thin">
        <x:color rgb="FF141922"/>
      </x:bottom>
    </x:border>
    <x:border>
      <x:left style="thin">
        <x:color rgb="FF2E3745"/>
      </x:left>
      <x:top style="thin">
        <x:color rgb="FF2E3745"/>
      </x:top>
      <x:bottom style="thin">
        <x:color rgb="FF2E3745"/>
      </x:bottom>
    </x:border>
    <x:border>
      <x:top style="thin">
        <x:color rgb="FF2E3745"/>
      </x:top>
      <x:bottom style="thin">
        <x:color rgb="FF2E3745"/>
      </x:bottom>
    </x:border>
    <x:border>
      <x:right style="thin">
        <x:color rgb="FF2E3745"/>
      </x:right>
      <x:top style="thin">
        <x:color rgb="FF2E3745"/>
      </x:top>
      <x:bottom style="thin">
        <x:color rgb="FF2E3745"/>
      </x:bottom>
    </x:border>
    <x:border>
      <x:left style="thin">
        <x:color rgb="FF2E3745"/>
      </x:left>
      <x:top style="thin">
        <x:color rgb="FF2E3745"/>
      </x:top>
      <x:bottom style="thin">
        <x:color rgb="FF2E3745"/>
      </x:bottom>
    </x:border>
    <x:border>
      <x:top style="thin">
        <x:color rgb="FF2E3745"/>
      </x:top>
      <x:bottom style="thin">
        <x:color rgb="FF2E3745"/>
      </x:bottom>
    </x:border>
    <x:border>
      <x:right style="thin">
        <x:color rgb="FF2E3745"/>
      </x:right>
      <x:top style="thin">
        <x:color rgb="FF2E3745"/>
      </x:top>
      <x:bottom style="thin">
        <x:color rgb="FF2E3745"/>
      </x:bottom>
    </x:border>
    <x:border>
      <x:left style="thin">
        <x:color rgb="FFE7EBEF"/>
      </x:left>
      <x:top style="thin">
        <x:color rgb="FFE7EBEF"/>
      </x:top>
    </x:border>
    <x:border>
      <x:top style="thin">
        <x:color rgb="FFE7EBEF"/>
      </x:top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</x:border>
    <x:border>
      <x:right style="thin">
        <x:color rgb="FFE7EBEF"/>
      </x:right>
    </x:border>
    <x:border>
      <x:left style="thin">
        <x:color rgb="FFE7EBEF"/>
      </x:left>
      <x:bottom style="thin">
        <x:color rgb="FFE7EBEF"/>
      </x:bottom>
    </x:border>
    <x:border>
      <x:bottom style="thin">
        <x:color rgb="FFE7EBEF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top style="thin">
        <x:color rgb="FFE7EBEF"/>
      </x:top>
    </x:border>
    <x:border>
      <x:top style="thin">
        <x:color rgb="FFE7EBEF"/>
      </x:top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</x:border>
    <x:border>
      <x:right style="thin">
        <x:color rgb="FFE7EBEF"/>
      </x:right>
    </x:border>
    <x:border>
      <x:left style="thin">
        <x:color rgb="FFE7EBEF"/>
      </x:left>
      <x:bottom style="thin">
        <x:color rgb="FFE7EBEF"/>
      </x:bottom>
    </x:border>
    <x:border>
      <x:bottom style="thin">
        <x:color rgb="FFE7EBEF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C79A45"/>
      </x:left>
      <x:right style="thin">
        <x:color rgb="FFC79A45"/>
      </x:right>
      <x:top style="thin">
        <x:color rgb="FFC79A45"/>
      </x:top>
      <x:bottom style="thin">
        <x:color rgb="FFC79A45"/>
      </x:bottom>
    </x:border>
    <x:border>
      <x:left style="thin">
        <x:color rgb="FFC79A45"/>
      </x:left>
      <x:right style="thin">
        <x:color rgb="FFC79A45"/>
      </x:right>
      <x:top style="thin">
        <x:color rgb="FFC79A45"/>
      </x:top>
      <x:bottom style="thin">
        <x:color rgb="FFC79A45"/>
      </x:bottom>
    </x:border>
    <x:border>
      <x:left style="thin">
        <x:color rgb="FFE6D1A4"/>
      </x:left>
      <x:top style="thin">
        <x:color rgb="FFE6D1A4"/>
      </x:top>
      <x:bottom style="thin">
        <x:color rgb="FFE6D1A4"/>
      </x:bottom>
    </x:border>
    <x:border>
      <x:top style="thin">
        <x:color rgb="FFE6D1A4"/>
      </x:top>
      <x:bottom style="thin">
        <x:color rgb="FFE6D1A4"/>
      </x:bottom>
    </x:border>
    <x:border>
      <x:right style="thin">
        <x:color rgb="FFE6D1A4"/>
      </x:right>
      <x:top style="thin">
        <x:color rgb="FFE6D1A4"/>
      </x:top>
      <x:bottom style="thin">
        <x:color rgb="FFE6D1A4"/>
      </x:bottom>
    </x:border>
    <x:border>
      <x:left style="thin">
        <x:color rgb="FFE6D1A4"/>
      </x:left>
      <x:top style="thin">
        <x:color rgb="FFE6D1A4"/>
      </x:top>
      <x:bottom style="thin">
        <x:color rgb="FFE6D1A4"/>
      </x:bottom>
    </x:border>
    <x:border>
      <x:top style="thin">
        <x:color rgb="FFE6D1A4"/>
      </x:top>
      <x:bottom style="thin">
        <x:color rgb="FFE6D1A4"/>
      </x:bottom>
    </x:border>
    <x:border>
      <x:right style="thin">
        <x:color rgb="FFE6D1A4"/>
      </x:right>
      <x:top style="thin">
        <x:color rgb="FFE6D1A4"/>
      </x:top>
      <x:bottom style="thin">
        <x:color rgb="FFE6D1A4"/>
      </x:bottom>
    </x:border>
    <x:border>
      <x:left style="thin">
        <x:color rgb="FFC79A45"/>
      </x:left>
      <x:top style="thin">
        <x:color rgb="FFC79A45"/>
      </x:top>
      <x:bottom style="thin">
        <x:color rgb="FFC79A45"/>
      </x:bottom>
    </x:border>
    <x:border>
      <x:top style="thin">
        <x:color rgb="FFC79A45"/>
      </x:top>
      <x:bottom style="thin">
        <x:color rgb="FFC79A45"/>
      </x:bottom>
    </x:border>
    <x:border>
      <x:right style="thin">
        <x:color rgb="FFC79A45"/>
      </x:right>
      <x:top style="thin">
        <x:color rgb="FFC79A45"/>
      </x:top>
      <x:bottom style="thin">
        <x:color rgb="FFC79A45"/>
      </x:bottom>
    </x:border>
    <x:border>
      <x:left style="thin">
        <x:color rgb="FFC79A45"/>
      </x:left>
      <x:top style="thin">
        <x:color rgb="FFC79A45"/>
      </x:top>
      <x:bottom style="thin">
        <x:color rgb="FFC79A45"/>
      </x:bottom>
    </x:border>
    <x:border>
      <x:top style="thin">
        <x:color rgb="FFC79A45"/>
      </x:top>
      <x:bottom style="thin">
        <x:color rgb="FFC79A45"/>
      </x:bottom>
    </x:border>
    <x:border>
      <x:right style="thin">
        <x:color rgb="FFC79A45"/>
      </x:right>
      <x:top style="thin">
        <x:color rgb="FFC79A45"/>
      </x:top>
      <x:bottom style="thin">
        <x:color rgb="FFC79A45"/>
      </x:bottom>
    </x:border>
    <x:border>
      <x:left style="thin">
        <x:color rgb="FFC79A45"/>
      </x:left>
      <x:top style="thin">
        <x:color rgb="FFC79A45"/>
      </x:top>
    </x:border>
    <x:border>
      <x:top style="thin">
        <x:color rgb="FFC79A45"/>
      </x:top>
    </x:border>
    <x:border>
      <x:right style="thin">
        <x:color rgb="FFC79A45"/>
      </x:right>
      <x:top style="thin">
        <x:color rgb="FFC79A45"/>
      </x:top>
    </x:border>
    <x:border>
      <x:left style="thin">
        <x:color rgb="FFC79A45"/>
      </x:left>
    </x:border>
    <x:border>
      <x:right style="thin">
        <x:color rgb="FFC79A45"/>
      </x:right>
    </x:border>
    <x:border>
      <x:left style="thin">
        <x:color rgb="FFC79A45"/>
      </x:left>
      <x:bottom style="thin">
        <x:color rgb="FFC79A45"/>
      </x:bottom>
    </x:border>
    <x:border>
      <x:bottom style="thin">
        <x:color rgb="FFC79A45"/>
      </x:bottom>
    </x:border>
    <x:border>
      <x:right style="thin">
        <x:color rgb="FFC79A45"/>
      </x:right>
      <x:bottom style="thin">
        <x:color rgb="FFC79A45"/>
      </x:bottom>
    </x:border>
    <x:border>
      <x:left style="thin">
        <x:color rgb="FFC79A45"/>
      </x:left>
      <x:top style="thin">
        <x:color rgb="FFC79A45"/>
      </x:top>
    </x:border>
    <x:border>
      <x:top style="thin">
        <x:color rgb="FFC79A45"/>
      </x:top>
    </x:border>
    <x:border>
      <x:right style="thin">
        <x:color rgb="FFC79A45"/>
      </x:right>
      <x:top style="thin">
        <x:color rgb="FFC79A45"/>
      </x:top>
    </x:border>
    <x:border>
      <x:left style="thin">
        <x:color rgb="FFC79A45"/>
      </x:left>
    </x:border>
    <x:border>
      <x:right style="thin">
        <x:color rgb="FFC79A45"/>
      </x:right>
    </x:border>
    <x:border>
      <x:left style="thin">
        <x:color rgb="FFC79A45"/>
      </x:left>
      <x:bottom style="thin">
        <x:color rgb="FFC79A45"/>
      </x:bottom>
    </x:border>
    <x:border>
      <x:bottom style="thin">
        <x:color rgb="FFC79A45"/>
      </x:bottom>
    </x:border>
    <x:border>
      <x:right style="thin">
        <x:color rgb="FFC79A45"/>
      </x:right>
      <x:bottom style="thin">
        <x:color rgb="FFC79A45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DCE2E8"/>
      </x:left>
      <x:top style="thin">
        <x:color rgb="FFDCE2E8"/>
      </x:top>
    </x:border>
    <x:border>
      <x:top style="thin">
        <x:color rgb="FFDCE2E8"/>
      </x:top>
    </x:border>
    <x:border>
      <x:right style="thin">
        <x:color rgb="FFDCE2E8"/>
      </x:right>
      <x:top style="thin">
        <x:color rgb="FFDCE2E8"/>
      </x:top>
    </x:border>
    <x:border>
      <x:left style="thin">
        <x:color rgb="FFDCE2E8"/>
      </x:left>
      <x:bottom style="thin">
        <x:color rgb="FFDCE2E8"/>
      </x:bottom>
    </x:border>
    <x:border>
      <x:bottom style="thin">
        <x:color rgb="FFDCE2E8"/>
      </x:bottom>
    </x:border>
    <x:border>
      <x:right style="thin">
        <x:color rgb="FFDCE2E8"/>
      </x:right>
      <x:bottom style="thin">
        <x:color rgb="FFDCE2E8"/>
      </x:bottom>
    </x:border>
    <x:border>
      <x:left style="thin">
        <x:color rgb="FFDCE2E8"/>
      </x:left>
      <x:top style="thin">
        <x:color rgb="FFDCE2E8"/>
      </x:top>
    </x:border>
    <x:border>
      <x:top style="thin">
        <x:color rgb="FFDCE2E8"/>
      </x:top>
    </x:border>
    <x:border>
      <x:right style="thin">
        <x:color rgb="FFDCE2E8"/>
      </x:right>
      <x:top style="thin">
        <x:color rgb="FFDCE2E8"/>
      </x:top>
    </x:border>
    <x:border>
      <x:left style="thin">
        <x:color rgb="FFDCE2E8"/>
      </x:left>
      <x:bottom style="thin">
        <x:color rgb="FFDCE2E8"/>
      </x:bottom>
    </x:border>
    <x:border>
      <x:bottom style="thin">
        <x:color rgb="FFDCE2E8"/>
      </x:bottom>
    </x:border>
    <x:border>
      <x:right style="thin">
        <x:color rgb="FFDCE2E8"/>
      </x:right>
      <x:bottom style="thin">
        <x:color rgb="FFDCE2E8"/>
      </x:bottom>
    </x:border>
    <x:border>
      <x:left style="thin">
        <x:color rgb="FFDCE2E8"/>
      </x:left>
      <x:right style="thin">
        <x:color rgb="FFDCE2E8"/>
      </x:right>
      <x:top style="thin">
        <x:color rgb="FFDCE2E8"/>
      </x:top>
      <x:bottom style="thin">
        <x:color rgb="FFDCE2E8"/>
      </x:bottom>
    </x:border>
    <x:border>
      <x:left style="thin">
        <x:color rgb="FFDCE2E8"/>
      </x:left>
      <x:right style="thin">
        <x:color rgb="FFDCE2E8"/>
      </x:right>
      <x:top style="thin">
        <x:color rgb="FFDCE2E8"/>
      </x:top>
      <x:bottom style="thin">
        <x:color rgb="FFDCE2E8"/>
      </x:bottom>
    </x:border>
    <x:border>
      <x:left style="thin">
        <x:color rgb="FFD7DEE6"/>
      </x:left>
      <x:top style="thin">
        <x:color rgb="FFD7DEE6"/>
      </x:top>
      <x:bottom style="thin">
        <x:color rgb="FFD7DEE6"/>
      </x:bottom>
    </x:border>
    <x:border>
      <x:right style="thin">
        <x:color rgb="FFD7DEE6"/>
      </x:right>
      <x:top style="thin">
        <x:color rgb="FFD7DEE6"/>
      </x:top>
      <x:bottom style="thin">
        <x:color rgb="FFD7DEE6"/>
      </x:bottom>
    </x:border>
    <x:border>
      <x:left style="thin">
        <x:color rgb="FFD7DEE6"/>
      </x:left>
      <x:right style="thin">
        <x:color rgb="FFDCE2E8"/>
      </x:right>
      <x:top style="thin">
        <x:color rgb="FFD7DEE6"/>
      </x:top>
      <x:bottom style="thin">
        <x:color rgb="FFD7DEE6"/>
      </x:bottom>
    </x:border>
    <x:border>
      <x:left style="medium">
        <x:color rgb="FFC8A66A"/>
      </x:left>
      <x:right style="thin">
        <x:color rgb="FFD7DEE6"/>
      </x:right>
      <x:top style="thin">
        <x:color rgb="FFD7DEE6"/>
      </x:top>
      <x:bottom style="thin">
        <x:color rgb="FFD7DEE6"/>
      </x:bottom>
    </x:border>
    <x:border>
      <x:left style="thin">
        <x:color rgb="FFDCE2E8"/>
      </x:left>
      <x:right style="thin">
        <x:color rgb="FFD7DEE6"/>
      </x:right>
      <x:top style="thin">
        <x:color rgb="FFD7DEE6"/>
      </x:top>
      <x:bottom style="thin">
        <x:color rgb="FFD7DEE6"/>
      </x:bottom>
    </x:border>
    <x:border diagonalUp="0" diagonalDown="0">
      <x:left style="none"/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right style="none"/>
      <x:bottom style="none"/>
    </x:border>
  </x:borders>
  <x:cellStyleXfs count="1">
    <x:xf numFmtId="0" fontId="0" fillId="0" borderId="0"/>
  </x:cellStyleXfs>
  <x:cellXfs count="2317">
    <x:xf numFmtId="0" fontId="0" fillId="0" borderId="0" xfId="0"/>
    <x:xf numFmtId="0" fontId="0" fillId="2" borderId="0" xfId="0" applyFill="1" applyAlignment="1">
      <x:alignment horizontal="center" vertical="center"/>
    </x:xf>
    <x:xf numFmtId="0" fontId="0" fillId="3" borderId="0" xfId="0" applyFill="1"/>
    <x:xf numFmtId="0" fontId="0" fillId="2" borderId="0" xfId="0" applyFill="1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1" xfId="0" applyFont="1" applyFill="1" applyBorder="1" applyAlignment="1">
      <x:alignment horizontal="left" vertical="center"/>
    </x:xf>
    <x:xf numFmtId="0" fontId="6" fillId="0" borderId="2" xfId="0" applyFont="1" applyBorder="1" applyAlignment="1">
      <x:alignment horizontal="left" vertical="center" wrapText="1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0" fillId="5" borderId="0" xfId="0" applyFill="1"/>
    <x:xf numFmtId="0" fontId="9" fillId="5" borderId="0" xfId="0" applyFont="1" applyFill="1" applyAlignment="1">
      <x:alignment horizontal="left" vertical="center"/>
    </x:xf>
    <x:xf numFmtId="0" fontId="10" fillId="5" borderId="0" xfId="0" applyFont="1" applyFill="1" applyAlignment="1">
      <x:alignment horizontal="right" vertical="center"/>
    </x:xf>
    <x:xf numFmtId="0" fontId="11" fillId="6" borderId="0" xfId="0" applyFont="1" applyFill="1" applyAlignment="1">
      <x:alignment horizontal="left" vertical="center"/>
    </x:xf>
    <x:xf numFmtId="0" fontId="12" fillId="6" borderId="0" xfId="0" applyFont="1" applyFill="1" applyAlignment="1">
      <x:alignment horizontal="center" vertical="center"/>
    </x:xf>
    <x:xf numFmtId="0" fontId="13" fillId="6" borderId="0" xfId="0" applyFont="1" applyFill="1" applyAlignment="1">
      <x:alignment horizontal="center" vertical="center"/>
    </x:xf>
    <x:xf numFmtId="0" fontId="12" fillId="6" borderId="0" xfId="0" applyFont="1" applyFill="1" applyAlignment="1">
      <x:alignment horizontal="right" vertical="center"/>
    </x:xf>
    <x:xf numFmtId="0" fontId="5" fillId="4" borderId="1" xfId="0" applyFont="1" applyFill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0" fontId="14" fillId="2" borderId="0" xfId="0" applyFont="1" applyFill="1" applyAlignment="1">
      <x:alignment horizontal="center" vertical="center" wrapText="1"/>
    </x:xf>
    <x:xf numFmtId="0" fontId="15" fillId="4" borderId="0" xfId="0" applyFont="1" applyFill="1" applyAlignment="1">
      <x:alignment vertical="center" wrapText="1"/>
    </x:xf>
    <x:xf numFmtId="0" fontId="16" fillId="4" borderId="0" xfId="0" applyFont="1" applyFill="1"/>
    <x:xf numFmtId="0" fontId="17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4" fontId="17" fillId="0" borderId="0" xfId="0" applyNumberFormat="1" applyFont="1" applyAlignment="1">
      <x:alignment horizontal="right" vertical="center" wrapText="1"/>
    </x:xf>
    <x:xf numFmtId="164" fontId="17" fillId="0" borderId="0" xfId="0" applyNumberFormat="1" applyFont="1" applyAlignment="1">
      <x:alignment horizontal="right" vertical="center" wrapText="1"/>
    </x:xf>
    <x:xf numFmtId="4" fontId="17" fillId="7" borderId="0" xfId="0" applyNumberFormat="1" applyFont="1" applyFill="1" applyAlignment="1">
      <x:alignment horizontal="right" vertical="center" wrapText="1"/>
    </x:xf>
    <x:xf numFmtId="10" fontId="17" fillId="0" borderId="0" xfId="0" applyNumberFormat="1" applyFont="1" applyAlignment="1">
      <x:alignment horizontal="right" vertical="center" wrapText="1"/>
    </x:xf>
    <x:xf numFmtId="0" fontId="17" fillId="8" borderId="0" xfId="0" applyFont="1" applyFill="1" applyAlignment="1">
      <x:alignment horizontal="center" vertical="center" wrapText="1"/>
    </x:xf>
    <x:xf numFmtId="0" fontId="17" fillId="8" borderId="0" xfId="0" applyFont="1" applyFill="1" applyAlignment="1">
      <x:alignment vertical="center" wrapText="1"/>
    </x:xf>
    <x:xf numFmtId="4" fontId="17" fillId="8" borderId="0" xfId="0" applyNumberFormat="1" applyFont="1" applyFill="1" applyAlignment="1">
      <x:alignment horizontal="right" vertical="center" wrapText="1"/>
    </x:xf>
    <x:xf numFmtId="164" fontId="17" fillId="8" borderId="0" xfId="0" applyNumberFormat="1" applyFont="1" applyFill="1" applyAlignment="1">
      <x:alignment horizontal="right" vertical="center" wrapText="1"/>
    </x:xf>
    <x:xf numFmtId="10" fontId="17" fillId="8" borderId="0" xfId="0" applyNumberFormat="1" applyFont="1" applyFill="1" applyAlignment="1">
      <x:alignment horizontal="right" vertical="center" wrapText="1"/>
    </x:xf>
    <x:xf numFmtId="0" fontId="13" fillId="6" borderId="0" xfId="0" applyFont="1" applyFill="1" applyAlignment="1">
      <x:alignment horizontal="right" vertical="center"/>
    </x:xf>
    <x:xf numFmtId="164" fontId="13" fillId="6" borderId="0" xfId="0" applyNumberFormat="1" applyFont="1" applyFill="1" applyAlignment="1">
      <x:alignment horizontal="right" vertical="center"/>
    </x:xf>
    <x:xf numFmtId="10" fontId="13" fillId="6" borderId="0" xfId="0" applyNumberFormat="1" applyFont="1" applyFill="1" applyAlignment="1">
      <x:alignment horizontal="right" vertical="center"/>
    </x:xf>
    <x:xf numFmtId="0" fontId="18" fillId="0" borderId="0" xfId="0" applyFont="1" applyAlignment="1">
      <x:alignment horizontal="left" vertical="center"/>
    </x:xf>
    <x:xf numFmtId="0" fontId="5" fillId="4" borderId="0" xfId="0" applyFont="1" applyFill="1" applyAlignment="1">
      <x:alignment horizontal="left" vertical="center"/>
    </x:xf>
    <x:xf numFmtId="0" fontId="19" fillId="3" borderId="0" xfId="0" applyFont="1" applyFill="1" applyAlignment="1">
      <x:alignment horizontal="left" vertical="center"/>
    </x:xf>
    <x:xf numFmtId="164" fontId="20" fillId="9" borderId="3" xfId="0" applyNumberFormat="1" applyFont="1" applyFill="1" applyBorder="1" applyAlignment="1">
      <x:alignment horizontal="left" vertical="center"/>
    </x:xf>
    <x:xf numFmtId="10" fontId="21" fillId="2" borderId="3" xfId="0" applyNumberFormat="1" applyFont="1" applyFill="1" applyBorder="1" applyAlignment="1">
      <x:alignment horizontal="left" vertical="center"/>
    </x:xf>
    <x:xf numFmtId="0" fontId="22" fillId="0" borderId="0" xfId="0" applyFont="1" applyAlignment="1">
      <x:alignment horizontal="left" vertical="center" wrapText="1"/>
    </x:xf>
    <x:xf numFmtId="0" fontId="0" fillId="0" borderId="4" xfId="0" applyBorder="1"/>
    <x:xf numFmtId="0" fontId="23" fillId="0" borderId="0" xfId="0" applyFont="1" applyAlignment="1">
      <x:alignment horizontal="center" vertical="center"/>
    </x:xf>
    <x:xf numFmtId="0" fontId="24" fillId="0" borderId="0" xfId="0" applyFont="1" applyAlignment="1">
      <x:alignment horizontal="center" vertical="center"/>
    </x:xf>
    <x:xf numFmtId="0" fontId="25" fillId="2" borderId="0" xfId="0" applyFont="1" applyFill="1" applyAlignment="1">
      <x:alignment horizontal="left" vertical="center"/>
    </x:xf>
    <x:xf numFmtId="0" fontId="14" fillId="6" borderId="0" xfId="0" applyFont="1" applyFill="1" applyAlignment="1">
      <x:alignment horizontal="center" vertical="center" wrapText="1"/>
    </x:xf>
    <x:xf numFmtId="0" fontId="16" fillId="4" borderId="0" xfId="0" applyFont="1" applyFill="1" applyAlignment="1">
      <x:alignment vertical="center" wrapText="1"/>
    </x:xf>
    <x:xf numFmtId="0" fontId="26" fillId="0" borderId="0" xfId="0" applyFont="1" applyAlignment="1">
      <x:alignment vertical="center" wrapText="1"/>
    </x:xf>
    <x:xf numFmtId="4" fontId="26" fillId="0" borderId="0" xfId="0" applyNumberFormat="1" applyFont="1" applyAlignment="1">
      <x:alignment horizontal="right" vertical="center" wrapText="1"/>
    </x:xf>
    <x:xf numFmtId="164" fontId="26" fillId="0" borderId="0" xfId="0" applyNumberFormat="1" applyFont="1" applyAlignment="1">
      <x:alignment horizontal="right" vertical="center" wrapText="1"/>
    </x:xf>
    <x:xf numFmtId="4" fontId="26" fillId="7" borderId="0" xfId="0" applyNumberFormat="1" applyFont="1" applyFill="1" applyAlignment="1">
      <x:alignment horizontal="right" vertical="center" wrapText="1"/>
    </x:xf>
    <x:xf numFmtId="10" fontId="26" fillId="0" borderId="0" xfId="0" applyNumberFormat="1" applyFont="1" applyAlignment="1">
      <x:alignment horizontal="right" vertical="center" wrapText="1"/>
    </x:xf>
    <x:xf numFmtId="0" fontId="13" fillId="2" borderId="0" xfId="0" applyFont="1" applyFill="1" applyAlignment="1">
      <x:alignment horizontal="left" vertical="center"/>
    </x:xf>
    <x:xf numFmtId="0" fontId="7" fillId="0" borderId="0" xfId="0" applyFont="1" applyAlignment="1">
      <x:alignment horizontal="left" vertical="center" wrapText="1"/>
    </x:xf>
    <x:xf numFmtId="0" fontId="0" fillId="0" borderId="5" xfId="0" applyNumberFormat="1" applyFont="1" applyFill="1" applyBorder="1"/>
    <x:xf numFmtId="0" fontId="0" fillId="2" borderId="5" xfId="0" applyNumberFormat="1" applyFont="1" applyFill="1" applyBorder="1" applyAlignment="1">
      <x:alignment horizontal="center" vertical="center"/>
    </x:xf>
    <x:xf numFmtId="0" fontId="0" fillId="3" borderId="5" xfId="0" applyNumberFormat="1" applyFont="1" applyFill="1" applyBorder="1"/>
    <x:xf numFmtId="0" fontId="0" fillId="2" borderId="5" xfId="0" applyNumberFormat="1" applyFont="1" applyFill="1" applyBorder="1"/>
    <x:xf numFmtId="0" fontId="1" fillId="0" borderId="5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left" vertical="center"/>
    </x:xf>
    <x:xf numFmtId="0" fontId="6" fillId="0" borderId="7" xfId="0" applyNumberFormat="1" applyFont="1" applyFill="1" applyBorder="1" applyAlignment="1">
      <x:alignment horizontal="left" vertical="center" wrapText="1"/>
    </x:xf>
    <x:xf numFmtId="0" fontId="7" fillId="0" borderId="5" xfId="0" applyNumberFormat="1" applyFont="1" applyFill="1" applyBorder="1" applyAlignment="1">
      <x:alignment horizontal="center" vertical="center"/>
    </x:xf>
    <x:xf numFmtId="0" fontId="8" fillId="0" borderId="5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/>
    <x:xf numFmtId="0" fontId="9" fillId="5" borderId="5" xfId="0" applyNumberFormat="1" applyFont="1" applyFill="1" applyBorder="1" applyAlignment="1">
      <x:alignment horizontal="left" vertical="center"/>
    </x:xf>
    <x:xf numFmtId="0" fontId="10" fillId="5" borderId="5" xfId="0" applyNumberFormat="1" applyFont="1" applyFill="1" applyBorder="1" applyAlignment="1">
      <x:alignment horizontal="right" vertical="center"/>
    </x:xf>
    <x:xf numFmtId="0" fontId="11" fillId="6" borderId="5" xfId="0" applyNumberFormat="1" applyFont="1" applyFill="1" applyBorder="1" applyAlignment="1">
      <x:alignment horizontal="left" vertical="center"/>
    </x:xf>
    <x:xf numFmtId="0" fontId="12" fillId="6" borderId="5" xfId="0" applyNumberFormat="1" applyFont="1" applyFill="1" applyBorder="1" applyAlignment="1">
      <x:alignment horizontal="center" vertical="center"/>
    </x:xf>
    <x:xf numFmtId="0" fontId="13" fillId="6" borderId="5" xfId="0" applyNumberFormat="1" applyFont="1" applyFill="1" applyBorder="1" applyAlignment="1">
      <x:alignment horizontal="center" vertical="center"/>
    </x:xf>
    <x:xf numFmtId="0" fontId="12" fillId="6" borderId="5" xfId="0" applyNumberFormat="1" applyFont="1" applyFill="1" applyBorder="1" applyAlignment="1">
      <x:alignment horizontal="right" vertical="center"/>
    </x:xf>
    <x:xf numFmtId="0" fontId="5" fillId="4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14" fillId="2" borderId="5" xfId="0" applyNumberFormat="1" applyFont="1" applyFill="1" applyBorder="1" applyAlignment="1">
      <x:alignment horizontal="center" vertical="center" wrapText="1"/>
    </x:xf>
    <x:xf numFmtId="0" fontId="15" fillId="4" borderId="5" xfId="0" applyNumberFormat="1" applyFont="1" applyFill="1" applyBorder="1" applyAlignment="1">
      <x:alignment vertical="center" wrapText="1"/>
    </x:xf>
    <x:xf numFmtId="0" fontId="16" fillId="4" borderId="5" xfId="0" applyNumberFormat="1" applyFont="1" applyFill="1" applyBorder="1"/>
    <x:xf numFmtId="0" fontId="17" fillId="0" borderId="5" xfId="0" applyNumberFormat="1" applyFont="1" applyFill="1" applyBorder="1" applyAlignment="1">
      <x:alignment horizontal="center" vertical="center" wrapText="1"/>
    </x:xf>
    <x:xf numFmtId="0" fontId="17" fillId="0" borderId="5" xfId="0" applyNumberFormat="1" applyFont="1" applyFill="1" applyBorder="1" applyAlignment="1">
      <x:alignment vertical="center" wrapText="1"/>
    </x:xf>
    <x:xf numFmtId="4" fontId="17" fillId="0" borderId="5" xfId="0" applyNumberFormat="1" applyFont="1" applyFill="1" applyBorder="1" applyAlignment="1">
      <x:alignment horizontal="right" vertical="center" wrapText="1"/>
    </x:xf>
    <x:xf numFmtId="164" fontId="17" fillId="0" borderId="5" xfId="0" applyNumberFormat="1" applyFont="1" applyFill="1" applyBorder="1" applyAlignment="1">
      <x:alignment horizontal="right" vertical="center" wrapText="1"/>
    </x:xf>
    <x:xf numFmtId="4" fontId="17" fillId="7" borderId="5" xfId="0" applyNumberFormat="1" applyFont="1" applyFill="1" applyBorder="1" applyAlignment="1">
      <x:alignment horizontal="right" vertical="center" wrapText="1"/>
    </x:xf>
    <x:xf numFmtId="10" fontId="17" fillId="0" borderId="5" xfId="0" applyNumberFormat="1" applyFont="1" applyFill="1" applyBorder="1" applyAlignment="1">
      <x:alignment horizontal="right" vertical="center" wrapText="1"/>
    </x:xf>
    <x:xf numFmtId="0" fontId="17" fillId="8" borderId="5" xfId="0" applyNumberFormat="1" applyFont="1" applyFill="1" applyBorder="1" applyAlignment="1">
      <x:alignment horizontal="center" vertical="center" wrapText="1"/>
    </x:xf>
    <x:xf numFmtId="0" fontId="17" fillId="8" borderId="5" xfId="0" applyNumberFormat="1" applyFont="1" applyFill="1" applyBorder="1" applyAlignment="1">
      <x:alignment vertical="center" wrapText="1"/>
    </x:xf>
    <x:xf numFmtId="4" fontId="17" fillId="8" borderId="5" xfId="0" applyNumberFormat="1" applyFont="1" applyFill="1" applyBorder="1" applyAlignment="1">
      <x:alignment horizontal="right" vertical="center" wrapText="1"/>
    </x:xf>
    <x:xf numFmtId="164" fontId="17" fillId="8" borderId="5" xfId="0" applyNumberFormat="1" applyFont="1" applyFill="1" applyBorder="1" applyAlignment="1">
      <x:alignment horizontal="right" vertical="center" wrapText="1"/>
    </x:xf>
    <x:xf numFmtId="10" fontId="17" fillId="8" borderId="5" xfId="0" applyNumberFormat="1" applyFont="1" applyFill="1" applyBorder="1" applyAlignment="1">
      <x:alignment horizontal="right" vertical="center" wrapText="1"/>
    </x:xf>
    <x:xf numFmtId="0" fontId="13" fillId="6" borderId="5" xfId="0" applyNumberFormat="1" applyFont="1" applyFill="1" applyBorder="1" applyAlignment="1">
      <x:alignment horizontal="right" vertical="center"/>
    </x:xf>
    <x:xf numFmtId="164" fontId="13" fillId="6" borderId="5" xfId="0" applyNumberFormat="1" applyFont="1" applyFill="1" applyBorder="1" applyAlignment="1">
      <x:alignment horizontal="right" vertical="center"/>
    </x:xf>
    <x:xf numFmtId="10" fontId="13" fillId="6" borderId="5" xfId="0" applyNumberFormat="1" applyFont="1" applyFill="1" applyBorder="1" applyAlignment="1">
      <x:alignment horizontal="right" vertical="center"/>
    </x:xf>
    <x:xf numFmtId="0" fontId="18" fillId="0" borderId="5" xfId="0" applyNumberFormat="1" applyFont="1" applyFill="1" applyBorder="1" applyAlignment="1">
      <x:alignment horizontal="left" vertical="center"/>
    </x:xf>
    <x:xf numFmtId="0" fontId="5" fillId="4" borderId="5" xfId="0" applyNumberFormat="1" applyFont="1" applyFill="1" applyBorder="1" applyAlignment="1">
      <x:alignment horizontal="left" vertical="center"/>
    </x:xf>
    <x:xf numFmtId="0" fontId="19" fillId="3" borderId="5" xfId="0" applyNumberFormat="1" applyFont="1" applyFill="1" applyBorder="1" applyAlignment="1">
      <x:alignment horizontal="left" vertical="center"/>
    </x:xf>
    <x:xf numFmtId="164" fontId="20" fillId="9" borderId="8" xfId="0" applyNumberFormat="1" applyFont="1" applyFill="1" applyBorder="1" applyAlignment="1">
      <x:alignment horizontal="left" vertical="center"/>
    </x:xf>
    <x:xf numFmtId="10" fontId="21" fillId="2" borderId="8" xfId="0" applyNumberFormat="1" applyFont="1" applyFill="1" applyBorder="1" applyAlignment="1">
      <x:alignment horizontal="left" vertical="center"/>
    </x:xf>
    <x:xf numFmtId="0" fontId="22" fillId="0" borderId="5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/>
    <x:xf numFmtId="0" fontId="23" fillId="0" borderId="5" xfId="0" applyNumberFormat="1" applyFont="1" applyFill="1" applyBorder="1" applyAlignment="1">
      <x:alignment horizontal="center" vertical="center"/>
    </x:xf>
    <x:xf numFmtId="0" fontId="24" fillId="0" borderId="5" xfId="0" applyNumberFormat="1" applyFont="1" applyFill="1" applyBorder="1" applyAlignment="1">
      <x:alignment horizontal="center" vertical="center"/>
    </x:xf>
    <x:xf numFmtId="0" fontId="25" fillId="2" borderId="5" xfId="0" applyNumberFormat="1" applyFont="1" applyFill="1" applyBorder="1" applyAlignment="1">
      <x:alignment horizontal="left" vertical="center"/>
    </x:xf>
    <x:xf numFmtId="0" fontId="14" fillId="6" borderId="5" xfId="0" applyNumberFormat="1" applyFont="1" applyFill="1" applyBorder="1" applyAlignment="1">
      <x:alignment horizontal="center" vertical="center" wrapText="1"/>
    </x:xf>
    <x:xf numFmtId="0" fontId="16" fillId="4" borderId="5" xfId="0" applyNumberFormat="1" applyFont="1" applyFill="1" applyBorder="1" applyAlignment="1">
      <x:alignment vertical="center" wrapText="1"/>
    </x:xf>
    <x:xf numFmtId="0" fontId="26" fillId="0" borderId="5" xfId="0" applyNumberFormat="1" applyFont="1" applyFill="1" applyBorder="1" applyAlignment="1">
      <x:alignment vertical="center" wrapText="1"/>
    </x:xf>
    <x:xf numFmtId="4" fontId="26" fillId="0" borderId="5" xfId="0" applyNumberFormat="1" applyFont="1" applyFill="1" applyBorder="1" applyAlignment="1">
      <x:alignment horizontal="right" vertical="center" wrapText="1"/>
    </x:xf>
    <x:xf numFmtId="164" fontId="26" fillId="0" borderId="5" xfId="0" applyNumberFormat="1" applyFont="1" applyFill="1" applyBorder="1" applyAlignment="1">
      <x:alignment horizontal="right" vertical="center" wrapText="1"/>
    </x:xf>
    <x:xf numFmtId="4" fontId="26" fillId="7" borderId="5" xfId="0" applyNumberFormat="1" applyFont="1" applyFill="1" applyBorder="1" applyAlignment="1">
      <x:alignment horizontal="right" vertical="center" wrapText="1"/>
    </x:xf>
    <x:xf numFmtId="10" fontId="26" fillId="0" borderId="5" xfId="0" applyNumberFormat="1" applyFont="1" applyFill="1" applyBorder="1" applyAlignment="1">
      <x:alignment horizontal="right" vertical="center" wrapText="1"/>
    </x:xf>
    <x:xf numFmtId="0" fontId="13" fillId="2" borderId="5" xfId="0" applyNumberFormat="1" applyFont="1" applyFill="1" applyBorder="1" applyAlignment="1">
      <x:alignment horizontal="left" vertical="center"/>
    </x:xf>
    <x:xf numFmtId="0" fontId="7" fillId="0" borderId="5" xfId="0" applyNumberFormat="1" applyFont="1" applyFill="1" applyBorder="1" applyAlignment="1">
      <x:alignment horizontal="left" vertical="center" wrapText="1"/>
    </x:xf>
    <x:xf numFmtId="0" fontId="27" fillId="2" borderId="0" xfId="0" applyNumberFormat="1" applyFont="1" applyFill="1" applyBorder="1" applyAlignment="1">
      <x:alignment horizontal="center" vertical="center"/>
    </x:xf>
    <x:xf numFmtId="0" fontId="27" fillId="3" borderId="0" xfId="0" applyNumberFormat="1" applyFont="1" applyFill="1" applyBorder="1"/>
    <x:xf numFmtId="0" fontId="27" fillId="2" borderId="0" xfId="0" applyNumberFormat="1" applyFont="1" applyFill="1" applyBorder="1"/>
    <x:xf numFmtId="0" fontId="27" fillId="0" borderId="0" xfId="0" applyNumberFormat="1" applyFont="1" applyFill="1" applyBorder="1"/>
    <x:xf numFmtId="0" fontId="28" fillId="0" borderId="0" xfId="0" applyNumberFormat="1" applyFont="1" applyFill="1" applyBorder="1" applyAlignment="1">
      <x:alignment horizontal="center" vertical="center"/>
    </x:xf>
    <x:xf numFmtId="0" fontId="27" fillId="0" borderId="0" xfId="0" applyNumberFormat="1" applyFont="1" applyFill="1" applyBorder="1" applyAlignment="1">
      <x:alignment horizontal="center" vertical="center"/>
    </x:xf>
    <x:xf numFmtId="0" fontId="28" fillId="4" borderId="1" xfId="0" applyNumberFormat="1" applyFont="1" applyFill="1" applyBorder="1" applyAlignment="1">
      <x:alignment horizontal="left" vertical="center"/>
    </x:xf>
    <x:xf numFmtId="0" fontId="28" fillId="0" borderId="2" xfId="0" applyNumberFormat="1" applyFont="1" applyFill="1" applyBorder="1" applyAlignment="1">
      <x:alignment horizontal="left" vertical="center" wrapText="1"/>
    </x:xf>
    <x:xf numFmtId="0" fontId="29" fillId="0" borderId="0" xfId="0" applyNumberFormat="1" applyFont="1" applyFill="1" applyBorder="1" applyAlignment="1">
      <x:alignment horizontal="center" vertical="center"/>
    </x:xf>
    <x:xf numFmtId="0" fontId="27" fillId="2" borderId="5" xfId="0" applyNumberFormat="1" applyFont="1" applyFill="1" applyBorder="1" applyAlignment="1">
      <x:alignment horizontal="center" vertical="center"/>
    </x:xf>
    <x:xf numFmtId="0" fontId="27" fillId="3" borderId="5" xfId="0" applyNumberFormat="1" applyFont="1" applyFill="1" applyBorder="1"/>
    <x:xf numFmtId="0" fontId="27" fillId="2" borderId="5" xfId="0" applyNumberFormat="1" applyFont="1" applyFill="1" applyBorder="1"/>
    <x:xf numFmtId="0" fontId="27" fillId="0" borderId="5" xfId="0" applyNumberFormat="1" applyFont="1" applyFill="1" applyBorder="1"/>
    <x:xf numFmtId="0" fontId="28" fillId="0" borderId="5" xfId="0" applyNumberFormat="1" applyFont="1" applyFill="1" applyBorder="1" applyAlignment="1">
      <x:alignment horizontal="center" vertical="center"/>
    </x:xf>
    <x:xf numFmtId="0" fontId="27" fillId="0" borderId="5" xfId="0" applyNumberFormat="1" applyFont="1" applyFill="1" applyBorder="1" applyAlignment="1">
      <x:alignment horizontal="center" vertical="center"/>
    </x:xf>
    <x:xf numFmtId="0" fontId="28" fillId="4" borderId="6" xfId="0" applyNumberFormat="1" applyFont="1" applyFill="1" applyBorder="1" applyAlignment="1">
      <x:alignment horizontal="left" vertical="center"/>
    </x:xf>
    <x:xf numFmtId="0" fontId="28" fillId="0" borderId="7" xfId="0" applyNumberFormat="1" applyFont="1" applyFill="1" applyBorder="1" applyAlignment="1">
      <x:alignment horizontal="left" vertical="center" wrapText="1"/>
    </x:xf>
    <x:xf numFmtId="0" fontId="29" fillId="0" borderId="5" xfId="0" applyNumberFormat="1" applyFont="1" applyFill="1" applyBorder="1" applyAlignment="1">
      <x:alignment horizontal="center" vertical="center"/>
    </x:xf>
    <x:xf numFmtId="0" fontId="27" fillId="10" borderId="0" xfId="0" applyNumberFormat="1" applyFont="1" applyFill="1" applyBorder="1" applyAlignment="1">
      <x:alignment horizontal="center" vertical="center"/>
    </x:xf>
    <x:xf numFmtId="0" fontId="27" fillId="10" borderId="0" xfId="0" applyNumberFormat="1" applyFont="1" applyFill="1" applyBorder="1"/>
    <x:xf numFmtId="0" fontId="28" fillId="10" borderId="0" xfId="0" applyNumberFormat="1" applyFont="1" applyFill="1" applyBorder="1" applyAlignment="1">
      <x:alignment horizontal="center" vertical="center"/>
    </x:xf>
    <x:xf numFmtId="0" fontId="28" fillId="10" borderId="1" xfId="0" applyNumberFormat="1" applyFont="1" applyFill="1" applyBorder="1" applyAlignment="1">
      <x:alignment horizontal="left" vertical="center"/>
    </x:xf>
    <x:xf numFmtId="0" fontId="28" fillId="10" borderId="2" xfId="0" applyNumberFormat="1" applyFont="1" applyFill="1" applyBorder="1" applyAlignment="1">
      <x:alignment horizontal="left" vertical="center" wrapText="1"/>
    </x:xf>
    <x:xf numFmtId="0" fontId="29" fillId="10" borderId="0" xfId="0" applyNumberFormat="1" applyFont="1" applyFill="1" applyBorder="1" applyAlignment="1">
      <x:alignment horizontal="center" vertical="center"/>
    </x:xf>
    <x:xf numFmtId="0" fontId="27" fillId="10" borderId="5" xfId="0" applyNumberFormat="1" applyFont="1" applyFill="1" applyBorder="1" applyAlignment="1">
      <x:alignment horizontal="center" vertical="center"/>
    </x:xf>
    <x:xf numFmtId="0" fontId="27" fillId="10" borderId="5" xfId="0" applyNumberFormat="1" applyFont="1" applyFill="1" applyBorder="1"/>
    <x:xf numFmtId="0" fontId="28" fillId="10" borderId="5" xfId="0" applyNumberFormat="1" applyFont="1" applyFill="1" applyBorder="1" applyAlignment="1">
      <x:alignment horizontal="center" vertical="center"/>
    </x:xf>
    <x:xf numFmtId="0" fontId="28" fillId="10" borderId="6" xfId="0" applyNumberFormat="1" applyFont="1" applyFill="1" applyBorder="1" applyAlignment="1">
      <x:alignment horizontal="left" vertical="center"/>
    </x:xf>
    <x:xf numFmtId="0" fontId="28" fillId="10" borderId="7" xfId="0" applyNumberFormat="1" applyFont="1" applyFill="1" applyBorder="1" applyAlignment="1">
      <x:alignment horizontal="left" vertical="center" wrapText="1"/>
    </x:xf>
    <x:xf numFmtId="0" fontId="29" fillId="10" borderId="5" xfId="0" applyNumberFormat="1" applyFont="1" applyFill="1" applyBorder="1" applyAlignment="1">
      <x:alignment horizontal="center" vertical="center"/>
    </x:xf>
    <x:xf numFmtId="0" fontId="27" fillId="11" borderId="0" xfId="0" applyNumberFormat="1" applyFont="1" applyFill="1" applyBorder="1" applyAlignment="1">
      <x:alignment horizontal="center" vertical="center"/>
    </x:xf>
    <x:xf numFmtId="0" fontId="27" fillId="11" borderId="0" xfId="0" applyNumberFormat="1" applyFont="1" applyFill="1" applyBorder="1"/>
    <x:xf numFmtId="0" fontId="27" fillId="11" borderId="5" xfId="0" applyNumberFormat="1" applyFont="1" applyFill="1" applyBorder="1" applyAlignment="1">
      <x:alignment horizontal="center" vertical="center"/>
    </x:xf>
    <x:xf numFmtId="0" fontId="27" fillId="11" borderId="5" xfId="0" applyNumberFormat="1" applyFont="1" applyFill="1" applyBorder="1"/>
    <x:xf numFmtId="0" fontId="30" fillId="11" borderId="0" xfId="0" applyNumberFormat="1" applyFont="1" applyFill="1" applyBorder="1" applyAlignment="1">
      <x:alignment horizontal="center" vertical="center"/>
    </x:xf>
    <x:xf numFmtId="0" fontId="30" fillId="11" borderId="5" xfId="0" applyNumberFormat="1" applyFont="1" applyFill="1" applyBorder="1" applyAlignment="1">
      <x:alignment horizontal="center" vertical="center"/>
    </x:xf>
    <x:xf numFmtId="0" fontId="31" fillId="11" borderId="0" xfId="0" applyNumberFormat="1" applyFont="1" applyFill="1" applyBorder="1" applyAlignment="1">
      <x:alignment horizontal="center" vertical="center"/>
    </x:xf>
    <x:xf numFmtId="0" fontId="31" fillId="11" borderId="5" xfId="0" applyNumberFormat="1" applyFont="1" applyFill="1" applyBorder="1" applyAlignment="1">
      <x:alignment horizontal="center" vertical="center"/>
    </x:xf>
    <x:xf numFmtId="0" fontId="32" fillId="11" borderId="0" xfId="0" applyNumberFormat="1" applyFont="1" applyFill="1" applyBorder="1" applyAlignment="1">
      <x:alignment horizontal="center" vertical="center"/>
    </x:xf>
    <x:xf numFmtId="0" fontId="32" fillId="11" borderId="5" xfId="0" applyNumberFormat="1" applyFont="1" applyFill="1" applyBorder="1" applyAlignment="1">
      <x:alignment horizontal="center" vertical="center"/>
    </x:xf>
    <x:xf numFmtId="0" fontId="27" fillId="12" borderId="0" xfId="0" applyNumberFormat="1" applyFont="1" applyFill="1" applyBorder="1" applyAlignment="1">
      <x:alignment horizontal="center" vertical="center"/>
    </x:xf>
    <x:xf numFmtId="0" fontId="33" fillId="12" borderId="0" xfId="0" applyNumberFormat="1" applyFont="1" applyFill="1" applyBorder="1" applyAlignment="1">
      <x:alignment horizontal="center" vertical="center"/>
    </x:xf>
    <x:xf numFmtId="0" fontId="27" fillId="12" borderId="5" xfId="0" applyNumberFormat="1" applyFont="1" applyFill="1" applyBorder="1" applyAlignment="1">
      <x:alignment horizontal="center" vertical="center"/>
    </x:xf>
    <x:xf numFmtId="0" fontId="33" fillId="12" borderId="5" xfId="0" applyNumberFormat="1" applyFont="1" applyFill="1" applyBorder="1" applyAlignment="1">
      <x:alignment horizontal="center" vertical="center"/>
    </x:xf>
    <x:xf numFmtId="0" fontId="27" fillId="11" borderId="10" xfId="0" applyNumberFormat="1" applyFont="1" applyFill="1" applyBorder="1" applyAlignment="1">
      <x:alignment horizontal="center" vertical="center"/>
    </x:xf>
    <x:xf numFmtId="0" fontId="27" fillId="11" borderId="11" xfId="0" applyNumberFormat="1" applyFont="1" applyFill="1" applyBorder="1" applyAlignment="1">
      <x:alignment horizontal="center" vertical="center"/>
    </x:xf>
    <x:xf numFmtId="0" fontId="27" fillId="11" borderId="12" xfId="0" applyNumberFormat="1" applyFont="1" applyFill="1" applyBorder="1" applyAlignment="1">
      <x:alignment horizontal="center" vertical="center"/>
    </x:xf>
    <x:xf numFmtId="0" fontId="30" fillId="11" borderId="13" xfId="0" applyNumberFormat="1" applyFont="1" applyFill="1" applyBorder="1" applyAlignment="1">
      <x:alignment horizontal="center" vertical="center"/>
    </x:xf>
    <x:xf numFmtId="0" fontId="30" fillId="11" borderId="14" xfId="0" applyNumberFormat="1" applyFont="1" applyFill="1" applyBorder="1" applyAlignment="1">
      <x:alignment horizontal="center" vertical="center"/>
    </x:xf>
    <x:xf numFmtId="0" fontId="27" fillId="11" borderId="13" xfId="0" applyNumberFormat="1" applyFont="1" applyFill="1" applyBorder="1" applyAlignment="1">
      <x:alignment horizontal="center" vertical="center"/>
    </x:xf>
    <x:xf numFmtId="0" fontId="27" fillId="11" borderId="14" xfId="0" applyNumberFormat="1" applyFont="1" applyFill="1" applyBorder="1" applyAlignment="1">
      <x:alignment horizontal="center" vertical="center"/>
    </x:xf>
    <x:xf numFmtId="0" fontId="31" fillId="11" borderId="13" xfId="0" applyNumberFormat="1" applyFont="1" applyFill="1" applyBorder="1" applyAlignment="1">
      <x:alignment horizontal="center" vertical="center"/>
    </x:xf>
    <x:xf numFmtId="0" fontId="31" fillId="11" borderId="14" xfId="0" applyNumberFormat="1" applyFont="1" applyFill="1" applyBorder="1" applyAlignment="1">
      <x:alignment horizontal="center" vertical="center"/>
    </x:xf>
    <x:xf numFmtId="0" fontId="32" fillId="11" borderId="13" xfId="0" applyNumberFormat="1" applyFont="1" applyFill="1" applyBorder="1" applyAlignment="1">
      <x:alignment horizontal="center" vertical="center"/>
    </x:xf>
    <x:xf numFmtId="0" fontId="32" fillId="11" borderId="14" xfId="0" applyNumberFormat="1" applyFont="1" applyFill="1" applyBorder="1" applyAlignment="1">
      <x:alignment horizontal="center" vertical="center"/>
    </x:xf>
    <x:xf numFmtId="0" fontId="33" fillId="12" borderId="13" xfId="0" applyNumberFormat="1" applyFont="1" applyFill="1" applyBorder="1" applyAlignment="1">
      <x:alignment horizontal="center" vertical="center"/>
    </x:xf>
    <x:xf numFmtId="0" fontId="33" fillId="12" borderId="14" xfId="0" applyNumberFormat="1" applyFont="1" applyFill="1" applyBorder="1" applyAlignment="1">
      <x:alignment horizontal="center" vertical="center"/>
    </x:xf>
    <x:xf numFmtId="0" fontId="27" fillId="11" borderId="15" xfId="0" applyNumberFormat="1" applyFont="1" applyFill="1" applyBorder="1"/>
    <x:xf numFmtId="0" fontId="27" fillId="11" borderId="16" xfId="0" applyNumberFormat="1" applyFont="1" applyFill="1" applyBorder="1"/>
    <x:xf numFmtId="0" fontId="27" fillId="11" borderId="17" xfId="0" applyNumberFormat="1" applyFont="1" applyFill="1" applyBorder="1"/>
    <x:xf numFmtId="0" fontId="27" fillId="11" borderId="18" xfId="0" applyNumberFormat="1" applyFont="1" applyFill="1" applyBorder="1" applyAlignment="1">
      <x:alignment horizontal="center" vertical="center"/>
    </x:xf>
    <x:xf numFmtId="0" fontId="27" fillId="11" borderId="19" xfId="0" applyNumberFormat="1" applyFont="1" applyFill="1" applyBorder="1" applyAlignment="1">
      <x:alignment horizontal="center" vertical="center"/>
    </x:xf>
    <x:xf numFmtId="0" fontId="27" fillId="11" borderId="20" xfId="0" applyNumberFormat="1" applyFont="1" applyFill="1" applyBorder="1" applyAlignment="1">
      <x:alignment horizontal="center" vertical="center"/>
    </x:xf>
    <x:xf numFmtId="0" fontId="30" fillId="11" borderId="21" xfId="0" applyNumberFormat="1" applyFont="1" applyFill="1" applyBorder="1" applyAlignment="1">
      <x:alignment horizontal="center" vertical="center"/>
    </x:xf>
    <x:xf numFmtId="0" fontId="30" fillId="11" borderId="22" xfId="0" applyNumberFormat="1" applyFont="1" applyFill="1" applyBorder="1" applyAlignment="1">
      <x:alignment horizontal="center" vertical="center"/>
    </x:xf>
    <x:xf numFmtId="0" fontId="27" fillId="11" borderId="21" xfId="0" applyNumberFormat="1" applyFont="1" applyFill="1" applyBorder="1" applyAlignment="1">
      <x:alignment horizontal="center" vertical="center"/>
    </x:xf>
    <x:xf numFmtId="0" fontId="27" fillId="11" borderId="22" xfId="0" applyNumberFormat="1" applyFont="1" applyFill="1" applyBorder="1" applyAlignment="1">
      <x:alignment horizontal="center" vertical="center"/>
    </x:xf>
    <x:xf numFmtId="0" fontId="31" fillId="11" borderId="21" xfId="0" applyNumberFormat="1" applyFont="1" applyFill="1" applyBorder="1" applyAlignment="1">
      <x:alignment horizontal="center" vertical="center"/>
    </x:xf>
    <x:xf numFmtId="0" fontId="31" fillId="11" borderId="22" xfId="0" applyNumberFormat="1" applyFont="1" applyFill="1" applyBorder="1" applyAlignment="1">
      <x:alignment horizontal="center" vertical="center"/>
    </x:xf>
    <x:xf numFmtId="0" fontId="32" fillId="11" borderId="21" xfId="0" applyNumberFormat="1" applyFont="1" applyFill="1" applyBorder="1" applyAlignment="1">
      <x:alignment horizontal="center" vertical="center"/>
    </x:xf>
    <x:xf numFmtId="0" fontId="32" fillId="11" borderId="22" xfId="0" applyNumberFormat="1" applyFont="1" applyFill="1" applyBorder="1" applyAlignment="1">
      <x:alignment horizontal="center" vertical="center"/>
    </x:xf>
    <x:xf numFmtId="0" fontId="33" fillId="12" borderId="21" xfId="0" applyNumberFormat="1" applyFont="1" applyFill="1" applyBorder="1" applyAlignment="1">
      <x:alignment horizontal="center" vertical="center"/>
    </x:xf>
    <x:xf numFmtId="0" fontId="33" fillId="12" borderId="22" xfId="0" applyNumberFormat="1" applyFont="1" applyFill="1" applyBorder="1" applyAlignment="1">
      <x:alignment horizontal="center" vertical="center"/>
    </x:xf>
    <x:xf numFmtId="0" fontId="27" fillId="11" borderId="23" xfId="0" applyNumberFormat="1" applyFont="1" applyFill="1" applyBorder="1"/>
    <x:xf numFmtId="0" fontId="27" fillId="11" borderId="24" xfId="0" applyNumberFormat="1" applyFont="1" applyFill="1" applyBorder="1"/>
    <x:xf numFmtId="0" fontId="27" fillId="11" borderId="25" xfId="0" applyNumberFormat="1" applyFont="1" applyFill="1" applyBorder="1"/>
    <x:xf numFmtId="0" fontId="34" fillId="10" borderId="0" xfId="0" applyNumberFormat="1" applyFont="1" applyFill="1" applyBorder="1" applyAlignment="1">
      <x:alignment horizontal="center" vertical="center"/>
    </x:xf>
    <x:xf numFmtId="0" fontId="34" fillId="10" borderId="5" xfId="0" applyNumberFormat="1" applyFont="1" applyFill="1" applyBorder="1" applyAlignment="1">
      <x:alignment horizontal="center" vertical="center"/>
    </x:xf>
    <x:xf numFmtId="0" fontId="35" fillId="10" borderId="0" xfId="0" applyNumberFormat="1" applyFont="1" applyFill="1" applyBorder="1" applyAlignment="1">
      <x:alignment horizontal="center" vertical="center"/>
    </x:xf>
    <x:xf numFmtId="0" fontId="35" fillId="10" borderId="5" xfId="0" applyNumberFormat="1" applyFont="1" applyFill="1" applyBorder="1" applyAlignment="1">
      <x:alignment horizontal="center" vertical="center"/>
    </x:xf>
    <x:xf numFmtId="0" fontId="32" fillId="10" borderId="0" xfId="0" applyNumberFormat="1" applyFont="1" applyFill="1" applyBorder="1" applyAlignment="1">
      <x:alignment horizontal="center" vertical="center"/>
    </x:xf>
    <x:xf numFmtId="0" fontId="32" fillId="10" borderId="5" xfId="0" applyNumberFormat="1" applyFont="1" applyFill="1" applyBorder="1" applyAlignment="1">
      <x:alignment horizontal="center" vertical="center"/>
    </x:xf>
    <x:xf numFmtId="0" fontId="36" fillId="10" borderId="0" xfId="0" applyNumberFormat="1" applyFont="1" applyFill="1" applyBorder="1" applyAlignment="1">
      <x:alignment horizontal="center" vertical="center"/>
    </x:xf>
    <x:xf numFmtId="0" fontId="36" fillId="10" borderId="5" xfId="0" applyNumberFormat="1" applyFont="1" applyFill="1" applyBorder="1" applyAlignment="1">
      <x:alignment horizontal="center" vertical="center"/>
    </x:xf>
    <x:xf numFmtId="0" fontId="28" fillId="13" borderId="1" xfId="0" applyNumberFormat="1" applyFont="1" applyFill="1" applyBorder="1" applyAlignment="1">
      <x:alignment horizontal="left" vertical="center"/>
    </x:xf>
    <x:xf numFmtId="0" fontId="37" fillId="13" borderId="1" xfId="0" applyNumberFormat="1" applyFont="1" applyFill="1" applyBorder="1" applyAlignment="1">
      <x:alignment horizontal="left" vertical="center"/>
    </x:xf>
    <x:xf numFmtId="0" fontId="37" fillId="13" borderId="26" xfId="0" applyNumberFormat="1" applyFont="1" applyFill="1" applyBorder="1" applyAlignment="1">
      <x:alignment horizontal="left" vertical="center"/>
    </x:xf>
    <x:xf numFmtId="0" fontId="37" fillId="13" borderId="27" xfId="0" applyNumberFormat="1" applyFont="1" applyFill="1" applyBorder="1" applyAlignment="1">
      <x:alignment horizontal="left" vertical="center"/>
    </x:xf>
    <x:xf numFmtId="0" fontId="37" fillId="13" borderId="28" xfId="0" applyNumberFormat="1" applyFont="1" applyFill="1" applyBorder="1" applyAlignment="1">
      <x:alignment horizontal="left" vertical="center"/>
    </x:xf>
    <x:xf numFmtId="0" fontId="37" fillId="13" borderId="26" xfId="0" applyNumberFormat="1" applyFont="1" applyFill="1" applyBorder="1" applyAlignment="1">
      <x:alignment horizontal="left" vertical="center" wrapText="1"/>
    </x:xf>
    <x:xf numFmtId="0" fontId="37" fillId="13" borderId="27" xfId="0" applyNumberFormat="1" applyFont="1" applyFill="1" applyBorder="1" applyAlignment="1">
      <x:alignment horizontal="left" vertical="center" wrapText="1"/>
    </x:xf>
    <x:xf numFmtId="0" fontId="37" fillId="13" borderId="28" xfId="0" applyNumberFormat="1" applyFont="1" applyFill="1" applyBorder="1" applyAlignment="1">
      <x:alignment horizontal="left" vertical="center" wrapText="1"/>
    </x:xf>
    <x:xf numFmtId="0" fontId="28" fillId="13" borderId="6" xfId="0" applyNumberFormat="1" applyFont="1" applyFill="1" applyBorder="1" applyAlignment="1">
      <x:alignment horizontal="left" vertical="center"/>
    </x:xf>
    <x:xf numFmtId="0" fontId="37" fillId="13" borderId="6" xfId="0" applyNumberFormat="1" applyFont="1" applyFill="1" applyBorder="1" applyAlignment="1">
      <x:alignment horizontal="left" vertical="center"/>
    </x:xf>
    <x:xf numFmtId="0" fontId="37" fillId="13" borderId="29" xfId="0" applyNumberFormat="1" applyFont="1" applyFill="1" applyBorder="1" applyAlignment="1">
      <x:alignment horizontal="left" vertical="center"/>
    </x:xf>
    <x:xf numFmtId="0" fontId="37" fillId="13" borderId="30" xfId="0" applyNumberFormat="1" applyFont="1" applyFill="1" applyBorder="1" applyAlignment="1">
      <x:alignment horizontal="left" vertical="center"/>
    </x:xf>
    <x:xf numFmtId="0" fontId="37" fillId="13" borderId="31" xfId="0" applyNumberFormat="1" applyFont="1" applyFill="1" applyBorder="1" applyAlignment="1">
      <x:alignment horizontal="left" vertical="center"/>
    </x:xf>
    <x:xf numFmtId="0" fontId="37" fillId="13" borderId="29" xfId="0" applyNumberFormat="1" applyFont="1" applyFill="1" applyBorder="1" applyAlignment="1">
      <x:alignment horizontal="left" vertical="center" wrapText="1"/>
    </x:xf>
    <x:xf numFmtId="0" fontId="37" fillId="13" borderId="30" xfId="0" applyNumberFormat="1" applyFont="1" applyFill="1" applyBorder="1" applyAlignment="1">
      <x:alignment horizontal="left" vertical="center" wrapText="1"/>
    </x:xf>
    <x:xf numFmtId="0" fontId="37" fillId="13" borderId="31" xfId="0" applyNumberFormat="1" applyFont="1" applyFill="1" applyBorder="1" applyAlignment="1">
      <x:alignment horizontal="left" vertical="center" wrapText="1"/>
    </x:xf>
    <x:xf numFmtId="0" fontId="28" fillId="10" borderId="32" xfId="0" applyNumberFormat="1" applyFont="1" applyFill="1" applyBorder="1" applyAlignment="1">
      <x:alignment horizontal="left" vertical="center" wrapText="1"/>
    </x:xf>
    <x:xf numFmtId="0" fontId="28" fillId="10" borderId="33" xfId="0" applyNumberFormat="1" applyFont="1" applyFill="1" applyBorder="1" applyAlignment="1">
      <x:alignment horizontal="left" vertical="center" wrapText="1"/>
    </x:xf>
    <x:xf numFmtId="0" fontId="28" fillId="10" borderId="28" xfId="0" applyNumberFormat="1" applyFont="1" applyFill="1" applyBorder="1" applyAlignment="1">
      <x:alignment horizontal="left" vertical="center" wrapText="1"/>
    </x:xf>
    <x:xf numFmtId="0" fontId="28" fillId="10" borderId="34" xfId="0" applyNumberFormat="1" applyFont="1" applyFill="1" applyBorder="1" applyAlignment="1">
      <x:alignment horizontal="left" vertical="center" wrapText="1"/>
    </x:xf>
    <x:xf numFmtId="0" fontId="28" fillId="10" borderId="35" xfId="0" applyNumberFormat="1" applyFont="1" applyFill="1" applyBorder="1" applyAlignment="1">
      <x:alignment horizontal="left" vertical="center" wrapText="1"/>
    </x:xf>
    <x:xf numFmtId="0" fontId="28" fillId="10" borderId="31" xfId="0" applyNumberFormat="1" applyFont="1" applyFill="1" applyBorder="1" applyAlignment="1">
      <x:alignment horizontal="left" vertical="center" wrapText="1"/>
    </x:xf>
    <x:xf numFmtId="0" fontId="27" fillId="12" borderId="0" xfId="0" applyNumberFormat="1" applyFont="1" applyFill="1" applyBorder="1"/>
    <x:xf numFmtId="0" fontId="27" fillId="12" borderId="5" xfId="0" applyNumberFormat="1" applyFont="1" applyFill="1" applyBorder="1"/>
    <x:xf numFmtId="0" fontId="29" fillId="11" borderId="0" xfId="0" applyNumberFormat="1" applyFont="1" applyFill="1" applyBorder="1" applyAlignment="1">
      <x:alignment horizontal="center" vertical="center"/>
    </x:xf>
    <x:xf numFmtId="0" fontId="28" fillId="11" borderId="0" xfId="0" applyNumberFormat="1" applyFont="1" applyFill="1" applyBorder="1" applyAlignment="1">
      <x:alignment horizontal="center" vertical="center"/>
    </x:xf>
    <x:xf numFmtId="0" fontId="38" fillId="11" borderId="0" xfId="0" applyNumberFormat="1" applyFont="1" applyFill="1" applyBorder="1" applyAlignment="1">
      <x:alignment horizontal="center" vertical="center"/>
    </x:xf>
    <x:xf numFmtId="0" fontId="39" fillId="11" borderId="0" xfId="0" applyNumberFormat="1" applyFont="1" applyFill="1" applyBorder="1" applyAlignment="1">
      <x:alignment horizontal="center" vertical="center"/>
    </x:xf>
    <x:xf numFmtId="0" fontId="29" fillId="11" borderId="5" xfId="0" applyNumberFormat="1" applyFont="1" applyFill="1" applyBorder="1" applyAlignment="1">
      <x:alignment horizontal="center" vertical="center"/>
    </x:xf>
    <x:xf numFmtId="0" fontId="28" fillId="11" borderId="5" xfId="0" applyNumberFormat="1" applyFont="1" applyFill="1" applyBorder="1" applyAlignment="1">
      <x:alignment horizontal="center" vertical="center"/>
    </x:xf>
    <x:xf numFmtId="0" fontId="38" fillId="11" borderId="5" xfId="0" applyNumberFormat="1" applyFont="1" applyFill="1" applyBorder="1" applyAlignment="1">
      <x:alignment horizontal="center" vertical="center"/>
    </x:xf>
    <x:xf numFmtId="0" fontId="39" fillId="11" borderId="5" xfId="0" applyNumberFormat="1" applyFont="1" applyFill="1" applyBorder="1" applyAlignment="1">
      <x:alignment horizontal="center" vertical="center"/>
    </x:xf>
    <x:xf numFmtId="0" fontId="40" fillId="5" borderId="0" xfId="0" applyNumberFormat="1" applyFont="1" applyFill="1" applyBorder="1"/>
    <x:xf numFmtId="0" fontId="41" fillId="5" borderId="0" xfId="0" applyNumberFormat="1" applyFont="1" applyFill="1" applyBorder="1" applyAlignment="1">
      <x:alignment horizontal="left" vertical="center"/>
    </x:xf>
    <x:xf numFmtId="0" fontId="41" fillId="5" borderId="0" xfId="0" applyNumberFormat="1" applyFont="1" applyFill="1" applyBorder="1" applyAlignment="1">
      <x:alignment horizontal="right" vertical="center"/>
    </x:xf>
    <x:xf numFmtId="0" fontId="41" fillId="6" borderId="0" xfId="0" applyNumberFormat="1" applyFont="1" applyFill="1" applyBorder="1" applyAlignment="1">
      <x:alignment horizontal="left" vertical="center"/>
    </x:xf>
    <x:xf numFmtId="0" fontId="41" fillId="6" borderId="0" xfId="0" applyNumberFormat="1" applyFont="1" applyFill="1" applyBorder="1" applyAlignment="1">
      <x:alignment horizontal="center" vertical="center"/>
    </x:xf>
    <x:xf numFmtId="0" fontId="41" fillId="6" borderId="0" xfId="0" applyNumberFormat="1" applyFont="1" applyFill="1" applyBorder="1" applyAlignment="1">
      <x:alignment horizontal="right" vertical="center"/>
    </x:xf>
    <x:xf numFmtId="0" fontId="40" fillId="3" borderId="0" xfId="0" applyNumberFormat="1" applyFont="1" applyFill="1" applyBorder="1"/>
    <x:xf numFmtId="0" fontId="41" fillId="4" borderId="1" xfId="0" applyNumberFormat="1" applyFont="1" applyFill="1" applyBorder="1" applyAlignment="1">
      <x:alignment vertical="center" wrapText="1"/>
    </x:xf>
    <x:xf numFmtId="0" fontId="41" fillId="0" borderId="2" xfId="0" applyNumberFormat="1" applyFont="1" applyFill="1" applyBorder="1" applyAlignment="1">
      <x:alignment vertical="center" wrapText="1"/>
    </x:xf>
    <x:xf numFmtId="0" fontId="41" fillId="2" borderId="0" xfId="0" applyNumberFormat="1" applyFont="1" applyFill="1" applyBorder="1" applyAlignment="1">
      <x:alignment horizontal="center" vertical="center" wrapText="1"/>
    </x:xf>
    <x:xf numFmtId="0" fontId="41" fillId="4" borderId="0" xfId="0" applyNumberFormat="1" applyFont="1" applyFill="1" applyBorder="1" applyAlignment="1">
      <x:alignment vertical="center" wrapText="1"/>
    </x:xf>
    <x:xf numFmtId="0" fontId="41" fillId="4" borderId="0" xfId="0" applyNumberFormat="1" applyFont="1" applyFill="1" applyBorder="1"/>
    <x:xf numFmtId="0" fontId="40" fillId="0" borderId="0" xfId="0" applyNumberFormat="1" applyFont="1" applyFill="1" applyBorder="1" applyAlignment="1">
      <x:alignment horizontal="center" vertical="center" wrapText="1"/>
    </x:xf>
    <x:xf numFmtId="0" fontId="40" fillId="0" borderId="0" xfId="0" applyNumberFormat="1" applyFont="1" applyFill="1" applyBorder="1" applyAlignment="1">
      <x:alignment vertical="center" wrapText="1"/>
    </x:xf>
    <x:xf numFmtId="4" fontId="40" fillId="0" borderId="0" xfId="0" applyNumberFormat="1" applyFont="1" applyFill="1" applyBorder="1" applyAlignment="1">
      <x:alignment horizontal="right" vertical="center" wrapText="1"/>
    </x:xf>
    <x:xf numFmtId="164" fontId="40" fillId="0" borderId="0" xfId="0" applyNumberFormat="1" applyFont="1" applyFill="1" applyBorder="1" applyAlignment="1">
      <x:alignment horizontal="right" vertical="center" wrapText="1"/>
    </x:xf>
    <x:xf numFmtId="4" fontId="40" fillId="7" borderId="0" xfId="0" applyNumberFormat="1" applyFont="1" applyFill="1" applyBorder="1" applyAlignment="1">
      <x:alignment horizontal="right" vertical="center" wrapText="1"/>
    </x:xf>
    <x:xf numFmtId="10" fontId="40" fillId="0" borderId="0" xfId="0" applyNumberFormat="1" applyFont="1" applyFill="1" applyBorder="1" applyAlignment="1">
      <x:alignment horizontal="right" vertical="center" wrapText="1"/>
    </x:xf>
    <x:xf numFmtId="0" fontId="40" fillId="8" borderId="0" xfId="0" applyNumberFormat="1" applyFont="1" applyFill="1" applyBorder="1" applyAlignment="1">
      <x:alignment horizontal="center" vertical="center" wrapText="1"/>
    </x:xf>
    <x:xf numFmtId="0" fontId="40" fillId="8" borderId="0" xfId="0" applyNumberFormat="1" applyFont="1" applyFill="1" applyBorder="1" applyAlignment="1">
      <x:alignment vertical="center" wrapText="1"/>
    </x:xf>
    <x:xf numFmtId="4" fontId="40" fillId="8" borderId="0" xfId="0" applyNumberFormat="1" applyFont="1" applyFill="1" applyBorder="1" applyAlignment="1">
      <x:alignment horizontal="right" vertical="center" wrapText="1"/>
    </x:xf>
    <x:xf numFmtId="164" fontId="40" fillId="8" borderId="0" xfId="0" applyNumberFormat="1" applyFont="1" applyFill="1" applyBorder="1" applyAlignment="1">
      <x:alignment horizontal="right" vertical="center" wrapText="1"/>
    </x:xf>
    <x:xf numFmtId="10" fontId="40" fillId="8" borderId="0" xfId="0" applyNumberFormat="1" applyFont="1" applyFill="1" applyBorder="1" applyAlignment="1">
      <x:alignment horizontal="right" vertical="center" wrapText="1"/>
    </x:xf>
    <x:xf numFmtId="164" fontId="41" fillId="6" borderId="0" xfId="0" applyNumberFormat="1" applyFont="1" applyFill="1" applyBorder="1" applyAlignment="1">
      <x:alignment horizontal="right" vertical="center"/>
    </x:xf>
    <x:xf numFmtId="10" fontId="41" fillId="6" borderId="0" xfId="0" applyNumberFormat="1" applyFont="1" applyFill="1" applyBorder="1" applyAlignment="1">
      <x:alignment horizontal="right" vertical="center"/>
    </x:xf>
    <x:xf numFmtId="0" fontId="40" fillId="0" borderId="0" xfId="0" applyNumberFormat="1" applyFont="1" applyFill="1" applyBorder="1"/>
    <x:xf numFmtId="0" fontId="41" fillId="0" borderId="0" xfId="0" applyNumberFormat="1" applyFont="1" applyFill="1" applyBorder="1" applyAlignment="1">
      <x:alignment horizontal="left" vertical="center"/>
    </x:xf>
    <x:xf numFmtId="0" fontId="41" fillId="4" borderId="0" xfId="0" applyNumberFormat="1" applyFont="1" applyFill="1" applyBorder="1" applyAlignment="1">
      <x:alignment horizontal="left" vertical="center"/>
    </x:xf>
    <x:xf numFmtId="0" fontId="41" fillId="3" borderId="0" xfId="0" applyNumberFormat="1" applyFont="1" applyFill="1" applyBorder="1" applyAlignment="1">
      <x:alignment horizontal="left" vertical="center"/>
    </x:xf>
    <x:xf numFmtId="164" fontId="41" fillId="9" borderId="3" xfId="0" applyNumberFormat="1" applyFont="1" applyFill="1" applyBorder="1" applyAlignment="1">
      <x:alignment horizontal="left" vertical="center"/>
    </x:xf>
    <x:xf numFmtId="10" fontId="41" fillId="2" borderId="3" xfId="0" applyNumberFormat="1" applyFont="1" applyFill="1" applyBorder="1" applyAlignment="1">
      <x:alignment horizontal="left" vertical="center"/>
    </x:xf>
    <x:xf numFmtId="0" fontId="42" fillId="0" borderId="0" xfId="0" applyNumberFormat="1" applyFont="1" applyFill="1" applyBorder="1" applyAlignment="1">
      <x:alignment horizontal="left" vertical="center" wrapText="1"/>
    </x:xf>
    <x:xf numFmtId="0" fontId="41" fillId="0" borderId="0" xfId="0" applyNumberFormat="1" applyFont="1" applyFill="1" applyBorder="1" applyAlignment="1">
      <x:alignment horizontal="center" vertical="center"/>
    </x:xf>
    <x:xf numFmtId="0" fontId="40" fillId="0" borderId="4" xfId="0" applyNumberFormat="1" applyFont="1" applyFill="1" applyBorder="1"/>
    <x:xf numFmtId="0" fontId="40" fillId="0" borderId="0" xfId="0" applyNumberFormat="1" applyFont="1" applyFill="1" applyBorder="1" applyAlignment="1">
      <x:alignment horizontal="center" vertical="center"/>
    </x:xf>
    <x:xf numFmtId="0" fontId="40" fillId="5" borderId="5" xfId="0" applyNumberFormat="1" applyFont="1" applyFill="1" applyBorder="1"/>
    <x:xf numFmtId="0" fontId="41" fillId="5" borderId="5" xfId="0" applyNumberFormat="1" applyFont="1" applyFill="1" applyBorder="1" applyAlignment="1">
      <x:alignment horizontal="left" vertical="center"/>
    </x:xf>
    <x:xf numFmtId="0" fontId="41" fillId="5" borderId="5" xfId="0" applyNumberFormat="1" applyFont="1" applyFill="1" applyBorder="1" applyAlignment="1">
      <x:alignment horizontal="right" vertical="center"/>
    </x:xf>
    <x:xf numFmtId="0" fontId="41" fillId="6" borderId="5" xfId="0" applyNumberFormat="1" applyFont="1" applyFill="1" applyBorder="1" applyAlignment="1">
      <x:alignment horizontal="left" vertical="center"/>
    </x:xf>
    <x:xf numFmtId="0" fontId="41" fillId="6" borderId="5" xfId="0" applyNumberFormat="1" applyFont="1" applyFill="1" applyBorder="1" applyAlignment="1">
      <x:alignment horizontal="center" vertical="center"/>
    </x:xf>
    <x:xf numFmtId="0" fontId="41" fillId="6" borderId="5" xfId="0" applyNumberFormat="1" applyFont="1" applyFill="1" applyBorder="1" applyAlignment="1">
      <x:alignment horizontal="right" vertical="center"/>
    </x:xf>
    <x:xf numFmtId="0" fontId="40" fillId="3" borderId="5" xfId="0" applyNumberFormat="1" applyFont="1" applyFill="1" applyBorder="1"/>
    <x:xf numFmtId="0" fontId="41" fillId="4" borderId="6" xfId="0" applyNumberFormat="1" applyFont="1" applyFill="1" applyBorder="1" applyAlignment="1">
      <x:alignment vertical="center" wrapText="1"/>
    </x:xf>
    <x:xf numFmtId="0" fontId="41" fillId="0" borderId="7" xfId="0" applyNumberFormat="1" applyFont="1" applyFill="1" applyBorder="1" applyAlignment="1">
      <x:alignment vertical="center" wrapText="1"/>
    </x:xf>
    <x:xf numFmtId="0" fontId="41" fillId="2" borderId="5" xfId="0" applyNumberFormat="1" applyFont="1" applyFill="1" applyBorder="1" applyAlignment="1">
      <x:alignment horizontal="center" vertical="center" wrapText="1"/>
    </x:xf>
    <x:xf numFmtId="0" fontId="41" fillId="4" borderId="5" xfId="0" applyNumberFormat="1" applyFont="1" applyFill="1" applyBorder="1" applyAlignment="1">
      <x:alignment vertical="center" wrapText="1"/>
    </x:xf>
    <x:xf numFmtId="0" fontId="41" fillId="4" borderId="5" xfId="0" applyNumberFormat="1" applyFont="1" applyFill="1" applyBorder="1"/>
    <x:xf numFmtId="0" fontId="40" fillId="0" borderId="5" xfId="0" applyNumberFormat="1" applyFont="1" applyFill="1" applyBorder="1" applyAlignment="1">
      <x:alignment horizontal="center" vertical="center" wrapText="1"/>
    </x:xf>
    <x:xf numFmtId="0" fontId="40" fillId="0" borderId="5" xfId="0" applyNumberFormat="1" applyFont="1" applyFill="1" applyBorder="1" applyAlignment="1">
      <x:alignment vertical="center" wrapText="1"/>
    </x:xf>
    <x:xf numFmtId="4" fontId="40" fillId="0" borderId="5" xfId="0" applyNumberFormat="1" applyFont="1" applyFill="1" applyBorder="1" applyAlignment="1">
      <x:alignment horizontal="right" vertical="center" wrapText="1"/>
    </x:xf>
    <x:xf numFmtId="164" fontId="40" fillId="0" borderId="5" xfId="0" applyNumberFormat="1" applyFont="1" applyFill="1" applyBorder="1" applyAlignment="1">
      <x:alignment horizontal="right" vertical="center" wrapText="1"/>
    </x:xf>
    <x:xf numFmtId="4" fontId="40" fillId="7" borderId="5" xfId="0" applyNumberFormat="1" applyFont="1" applyFill="1" applyBorder="1" applyAlignment="1">
      <x:alignment horizontal="right" vertical="center" wrapText="1"/>
    </x:xf>
    <x:xf numFmtId="10" fontId="40" fillId="0" borderId="5" xfId="0" applyNumberFormat="1" applyFont="1" applyFill="1" applyBorder="1" applyAlignment="1">
      <x:alignment horizontal="right" vertical="center" wrapText="1"/>
    </x:xf>
    <x:xf numFmtId="0" fontId="40" fillId="8" borderId="5" xfId="0" applyNumberFormat="1" applyFont="1" applyFill="1" applyBorder="1" applyAlignment="1">
      <x:alignment horizontal="center" vertical="center" wrapText="1"/>
    </x:xf>
    <x:xf numFmtId="0" fontId="40" fillId="8" borderId="5" xfId="0" applyNumberFormat="1" applyFont="1" applyFill="1" applyBorder="1" applyAlignment="1">
      <x:alignment vertical="center" wrapText="1"/>
    </x:xf>
    <x:xf numFmtId="4" fontId="40" fillId="8" borderId="5" xfId="0" applyNumberFormat="1" applyFont="1" applyFill="1" applyBorder="1" applyAlignment="1">
      <x:alignment horizontal="right" vertical="center" wrapText="1"/>
    </x:xf>
    <x:xf numFmtId="164" fontId="40" fillId="8" borderId="5" xfId="0" applyNumberFormat="1" applyFont="1" applyFill="1" applyBorder="1" applyAlignment="1">
      <x:alignment horizontal="right" vertical="center" wrapText="1"/>
    </x:xf>
    <x:xf numFmtId="10" fontId="40" fillId="8" borderId="5" xfId="0" applyNumberFormat="1" applyFont="1" applyFill="1" applyBorder="1" applyAlignment="1">
      <x:alignment horizontal="right" vertical="center" wrapText="1"/>
    </x:xf>
    <x:xf numFmtId="164" fontId="41" fillId="6" borderId="5" xfId="0" applyNumberFormat="1" applyFont="1" applyFill="1" applyBorder="1" applyAlignment="1">
      <x:alignment horizontal="right" vertical="center"/>
    </x:xf>
    <x:xf numFmtId="10" fontId="41" fillId="6" borderId="5" xfId="0" applyNumberFormat="1" applyFont="1" applyFill="1" applyBorder="1" applyAlignment="1">
      <x:alignment horizontal="right" vertical="center"/>
    </x:xf>
    <x:xf numFmtId="0" fontId="40" fillId="0" borderId="5" xfId="0" applyNumberFormat="1" applyFont="1" applyFill="1" applyBorder="1"/>
    <x:xf numFmtId="0" fontId="41" fillId="0" borderId="5" xfId="0" applyNumberFormat="1" applyFont="1" applyFill="1" applyBorder="1" applyAlignment="1">
      <x:alignment horizontal="left" vertical="center"/>
    </x:xf>
    <x:xf numFmtId="0" fontId="41" fillId="4" borderId="5" xfId="0" applyNumberFormat="1" applyFont="1" applyFill="1" applyBorder="1" applyAlignment="1">
      <x:alignment horizontal="left" vertical="center"/>
    </x:xf>
    <x:xf numFmtId="0" fontId="41" fillId="3" borderId="5" xfId="0" applyNumberFormat="1" applyFont="1" applyFill="1" applyBorder="1" applyAlignment="1">
      <x:alignment horizontal="left" vertical="center"/>
    </x:xf>
    <x:xf numFmtId="164" fontId="41" fillId="9" borderId="8" xfId="0" applyNumberFormat="1" applyFont="1" applyFill="1" applyBorder="1" applyAlignment="1">
      <x:alignment horizontal="left" vertical="center"/>
    </x:xf>
    <x:xf numFmtId="10" fontId="41" fillId="2" borderId="8" xfId="0" applyNumberFormat="1" applyFont="1" applyFill="1" applyBorder="1" applyAlignment="1">
      <x:alignment horizontal="left" vertical="center"/>
    </x:xf>
    <x:xf numFmtId="0" fontId="42" fillId="0" borderId="5" xfId="0" applyNumberFormat="1" applyFont="1" applyFill="1" applyBorder="1" applyAlignment="1">
      <x:alignment horizontal="left" vertical="center" wrapText="1"/>
    </x:xf>
    <x:xf numFmtId="0" fontId="41" fillId="0" borderId="5" xfId="0" applyNumberFormat="1" applyFont="1" applyFill="1" applyBorder="1" applyAlignment="1">
      <x:alignment horizontal="center" vertical="center"/>
    </x:xf>
    <x:xf numFmtId="0" fontId="40" fillId="0" borderId="9" xfId="0" applyNumberFormat="1" applyFont="1" applyFill="1" applyBorder="1"/>
    <x:xf numFmtId="0" fontId="40" fillId="0" borderId="5" xfId="0" applyNumberFormat="1" applyFont="1" applyFill="1" applyBorder="1" applyAlignment="1">
      <x:alignment horizontal="center" vertical="center"/>
    </x:xf>
    <x:xf numFmtId="0" fontId="40" fillId="5" borderId="0" xfId="0" applyNumberFormat="1" applyFont="1" applyFill="1" applyBorder="1" applyAlignment="1">
      <x:alignment vertical="center"/>
    </x:xf>
    <x:xf numFmtId="0" fontId="40" fillId="3" borderId="0" xfId="0" applyNumberFormat="1" applyFont="1" applyFill="1" applyBorder="1" applyAlignment="1">
      <x:alignment vertical="center"/>
    </x:xf>
    <x:xf numFmtId="0" fontId="41" fillId="4" borderId="0" xfId="0" applyNumberFormat="1" applyFont="1" applyFill="1" applyBorder="1" applyAlignment="1">
      <x:alignment vertical="center"/>
    </x:xf>
    <x:xf numFmtId="0" fontId="40" fillId="0" borderId="0" xfId="0" applyNumberFormat="1" applyFont="1" applyFill="1" applyBorder="1" applyAlignment="1">
      <x:alignment vertical="center"/>
    </x:xf>
    <x:xf numFmtId="0" fontId="40" fillId="0" borderId="4" xfId="0" applyNumberFormat="1" applyFont="1" applyFill="1" applyBorder="1" applyAlignment="1">
      <x:alignment vertical="center"/>
    </x:xf>
    <x:xf numFmtId="0" fontId="40" fillId="5" borderId="5" xfId="0" applyNumberFormat="1" applyFont="1" applyFill="1" applyBorder="1" applyAlignment="1">
      <x:alignment vertical="center"/>
    </x:xf>
    <x:xf numFmtId="0" fontId="40" fillId="3" borderId="5" xfId="0" applyNumberFormat="1" applyFont="1" applyFill="1" applyBorder="1" applyAlignment="1">
      <x:alignment vertical="center"/>
    </x:xf>
    <x:xf numFmtId="0" fontId="41" fillId="4" borderId="5" xfId="0" applyNumberFormat="1" applyFont="1" applyFill="1" applyBorder="1" applyAlignment="1">
      <x:alignment vertical="center"/>
    </x:xf>
    <x:xf numFmtId="0" fontId="40" fillId="0" borderId="5" xfId="0" applyNumberFormat="1" applyFont="1" applyFill="1" applyBorder="1" applyAlignment="1">
      <x:alignment vertical="center"/>
    </x:xf>
    <x:xf numFmtId="0" fontId="40" fillId="0" borderId="9" xfId="0" applyNumberFormat="1" applyFont="1" applyFill="1" applyBorder="1" applyAlignment="1">
      <x:alignment vertical="center"/>
    </x:xf>
    <x:xf numFmtId="0" fontId="40" fillId="11" borderId="0" xfId="0" applyNumberFormat="1" applyFont="1" applyFill="1" applyBorder="1" applyAlignment="1">
      <x:alignment vertical="center"/>
    </x:xf>
    <x:xf numFmtId="0" fontId="41" fillId="11" borderId="0" xfId="0" applyNumberFormat="1" applyFont="1" applyFill="1" applyBorder="1" applyAlignment="1">
      <x:alignment horizontal="left" vertical="center"/>
    </x:xf>
    <x:xf numFmtId="0" fontId="41" fillId="11" borderId="0" xfId="0" applyNumberFormat="1" applyFont="1" applyFill="1" applyBorder="1" applyAlignment="1">
      <x:alignment horizontal="right" vertical="center"/>
    </x:xf>
    <x:xf numFmtId="0" fontId="43" fillId="11" borderId="0" xfId="0" applyNumberFormat="1" applyFont="1" applyFill="1" applyBorder="1" applyAlignment="1">
      <x:alignment vertical="center"/>
    </x:xf>
    <x:xf numFmtId="0" fontId="43" fillId="11" borderId="0" xfId="0" applyNumberFormat="1" applyFont="1" applyFill="1" applyBorder="1" applyAlignment="1">
      <x:alignment horizontal="left" vertical="center"/>
    </x:xf>
    <x:xf numFmtId="0" fontId="43" fillId="11" borderId="0" xfId="0" applyNumberFormat="1" applyFont="1" applyFill="1" applyBorder="1" applyAlignment="1">
      <x:alignment horizontal="right" vertical="center"/>
    </x:xf>
    <x:xf numFmtId="0" fontId="43" fillId="11" borderId="0" xfId="0" applyNumberFormat="1" applyFont="1" applyFill="1" applyBorder="1" applyAlignment="1">
      <x:alignment horizontal="center" vertical="center"/>
    </x:xf>
    <x:xf numFmtId="0" fontId="40" fillId="11" borderId="5" xfId="0" applyNumberFormat="1" applyFont="1" applyFill="1" applyBorder="1" applyAlignment="1">
      <x:alignment vertical="center"/>
    </x:xf>
    <x:xf numFmtId="0" fontId="41" fillId="11" borderId="5" xfId="0" applyNumberFormat="1" applyFont="1" applyFill="1" applyBorder="1" applyAlignment="1">
      <x:alignment horizontal="left" vertical="center"/>
    </x:xf>
    <x:xf numFmtId="0" fontId="41" fillId="11" borderId="5" xfId="0" applyNumberFormat="1" applyFont="1" applyFill="1" applyBorder="1" applyAlignment="1">
      <x:alignment horizontal="right" vertical="center"/>
    </x:xf>
    <x:xf numFmtId="0" fontId="43" fillId="11" borderId="5" xfId="0" applyNumberFormat="1" applyFont="1" applyFill="1" applyBorder="1" applyAlignment="1">
      <x:alignment vertical="center"/>
    </x:xf>
    <x:xf numFmtId="0" fontId="43" fillId="11" borderId="5" xfId="0" applyNumberFormat="1" applyFont="1" applyFill="1" applyBorder="1" applyAlignment="1">
      <x:alignment horizontal="left" vertical="center"/>
    </x:xf>
    <x:xf numFmtId="0" fontId="43" fillId="11" borderId="5" xfId="0" applyNumberFormat="1" applyFont="1" applyFill="1" applyBorder="1" applyAlignment="1">
      <x:alignment horizontal="right" vertical="center"/>
    </x:xf>
    <x:xf numFmtId="0" fontId="43" fillId="11" borderId="5" xfId="0" applyNumberFormat="1" applyFont="1" applyFill="1" applyBorder="1" applyAlignment="1">
      <x:alignment horizontal="center" vertical="center"/>
    </x:xf>
    <x:xf numFmtId="0" fontId="41" fillId="14" borderId="0" xfId="0" applyNumberFormat="1" applyFont="1" applyFill="1" applyBorder="1" applyAlignment="1">
      <x:alignment horizontal="left" vertical="center"/>
    </x:xf>
    <x:xf numFmtId="0" fontId="41" fillId="14" borderId="0" xfId="0" applyNumberFormat="1" applyFont="1" applyFill="1" applyBorder="1" applyAlignment="1">
      <x:alignment horizontal="center" vertical="center"/>
    </x:xf>
    <x:xf numFmtId="0" fontId="41" fillId="14" borderId="0" xfId="0" applyNumberFormat="1" applyFont="1" applyFill="1" applyBorder="1" applyAlignment="1">
      <x:alignment horizontal="right" vertical="center"/>
    </x:xf>
    <x:xf numFmtId="0" fontId="44" fillId="14" borderId="0" xfId="0" applyNumberFormat="1" applyFont="1" applyFill="1" applyBorder="1" applyAlignment="1">
      <x:alignment horizontal="left" vertical="center"/>
    </x:xf>
    <x:xf numFmtId="0" fontId="44" fillId="14" borderId="0" xfId="0" applyNumberFormat="1" applyFont="1" applyFill="1" applyBorder="1" applyAlignment="1">
      <x:alignment horizontal="center" vertical="center"/>
    </x:xf>
    <x:xf numFmtId="0" fontId="44" fillId="14" borderId="0" xfId="0" applyNumberFormat="1" applyFont="1" applyFill="1" applyBorder="1" applyAlignment="1">
      <x:alignment horizontal="right" vertical="center"/>
    </x:xf>
    <x:xf numFmtId="0" fontId="41" fillId="14" borderId="5" xfId="0" applyNumberFormat="1" applyFont="1" applyFill="1" applyBorder="1" applyAlignment="1">
      <x:alignment horizontal="left" vertical="center"/>
    </x:xf>
    <x:xf numFmtId="0" fontId="41" fillId="14" borderId="5" xfId="0" applyNumberFormat="1" applyFont="1" applyFill="1" applyBorder="1" applyAlignment="1">
      <x:alignment horizontal="center" vertical="center"/>
    </x:xf>
    <x:xf numFmtId="0" fontId="41" fillId="14" borderId="5" xfId="0" applyNumberFormat="1" applyFont="1" applyFill="1" applyBorder="1" applyAlignment="1">
      <x:alignment horizontal="right" vertical="center"/>
    </x:xf>
    <x:xf numFmtId="0" fontId="44" fillId="14" borderId="5" xfId="0" applyNumberFormat="1" applyFont="1" applyFill="1" applyBorder="1" applyAlignment="1">
      <x:alignment horizontal="left" vertical="center"/>
    </x:xf>
    <x:xf numFmtId="0" fontId="44" fillId="14" borderId="5" xfId="0" applyNumberFormat="1" applyFont="1" applyFill="1" applyBorder="1" applyAlignment="1">
      <x:alignment horizontal="center" vertical="center"/>
    </x:xf>
    <x:xf numFmtId="0" fontId="44" fillId="14" borderId="5" xfId="0" applyNumberFormat="1" applyFont="1" applyFill="1" applyBorder="1" applyAlignment="1">
      <x:alignment horizontal="right" vertical="center"/>
    </x:xf>
    <x:xf numFmtId="0" fontId="40" fillId="12" borderId="0" xfId="0" applyNumberFormat="1" applyFont="1" applyFill="1" applyBorder="1" applyAlignment="1">
      <x:alignment vertical="center"/>
    </x:xf>
    <x:xf numFmtId="0" fontId="40" fillId="12" borderId="5" xfId="0" applyNumberFormat="1" applyFont="1" applyFill="1" applyBorder="1" applyAlignment="1">
      <x:alignment vertical="center"/>
    </x:xf>
    <x:xf numFmtId="0" fontId="41" fillId="13" borderId="1" xfId="0" applyNumberFormat="1" applyFont="1" applyFill="1" applyBorder="1" applyAlignment="1">
      <x:alignment vertical="center" wrapText="1"/>
    </x:xf>
    <x:xf numFmtId="0" fontId="37" fillId="13" borderId="1" xfId="0" applyNumberFormat="1" applyFont="1" applyFill="1" applyBorder="1" applyAlignment="1">
      <x:alignment vertical="center" wrapText="1"/>
    </x:xf>
    <x:xf numFmtId="0" fontId="37" fillId="13" borderId="36" xfId="0" applyNumberFormat="1" applyFont="1" applyFill="1" applyBorder="1" applyAlignment="1">
      <x:alignment vertical="center" wrapText="1"/>
    </x:xf>
    <x:xf numFmtId="0" fontId="37" fillId="13" borderId="37" xfId="0" applyNumberFormat="1" applyFont="1" applyFill="1" applyBorder="1" applyAlignment="1">
      <x:alignment vertical="center" wrapText="1"/>
    </x:xf>
    <x:xf numFmtId="0" fontId="37" fillId="13" borderId="38" xfId="0" applyNumberFormat="1" applyFont="1" applyFill="1" applyBorder="1" applyAlignment="1">
      <x:alignment vertical="center" wrapText="1"/>
    </x:xf>
    <x:xf numFmtId="0" fontId="41" fillId="13" borderId="6" xfId="0" applyNumberFormat="1" applyFont="1" applyFill="1" applyBorder="1" applyAlignment="1">
      <x:alignment vertical="center" wrapText="1"/>
    </x:xf>
    <x:xf numFmtId="0" fontId="37" fillId="13" borderId="6" xfId="0" applyNumberFormat="1" applyFont="1" applyFill="1" applyBorder="1" applyAlignment="1">
      <x:alignment vertical="center" wrapText="1"/>
    </x:xf>
    <x:xf numFmtId="0" fontId="37" fillId="13" borderId="39" xfId="0" applyNumberFormat="1" applyFont="1" applyFill="1" applyBorder="1" applyAlignment="1">
      <x:alignment vertical="center" wrapText="1"/>
    </x:xf>
    <x:xf numFmtId="0" fontId="37" fillId="13" borderId="40" xfId="0" applyNumberFormat="1" applyFont="1" applyFill="1" applyBorder="1" applyAlignment="1">
      <x:alignment vertical="center" wrapText="1"/>
    </x:xf>
    <x:xf numFmtId="0" fontId="37" fillId="13" borderId="41" xfId="0" applyNumberFormat="1" applyFont="1" applyFill="1" applyBorder="1" applyAlignment="1">
      <x:alignment vertical="center" wrapText="1"/>
    </x:xf>
    <x:xf numFmtId="0" fontId="41" fillId="10" borderId="2" xfId="0" applyNumberFormat="1" applyFont="1" applyFill="1" applyBorder="1" applyAlignment="1">
      <x:alignment vertical="center" wrapText="1"/>
    </x:xf>
    <x:xf numFmtId="0" fontId="45" fillId="10" borderId="2" xfId="0" applyNumberFormat="1" applyFont="1" applyFill="1" applyBorder="1" applyAlignment="1">
      <x:alignment vertical="center" wrapText="1"/>
    </x:xf>
    <x:xf numFmtId="0" fontId="45" fillId="10" borderId="36" xfId="0" applyNumberFormat="1" applyFont="1" applyFill="1" applyBorder="1" applyAlignment="1">
      <x:alignment vertical="center" wrapText="1"/>
    </x:xf>
    <x:xf numFmtId="0" fontId="45" fillId="10" borderId="42" xfId="0" applyNumberFormat="1" applyFont="1" applyFill="1" applyBorder="1" applyAlignment="1">
      <x:alignment vertical="center" wrapText="1"/>
    </x:xf>
    <x:xf numFmtId="0" fontId="45" fillId="10" borderId="43" xfId="0" applyNumberFormat="1" applyFont="1" applyFill="1" applyBorder="1" applyAlignment="1">
      <x:alignment vertical="center" wrapText="1"/>
    </x:xf>
    <x:xf numFmtId="0" fontId="41" fillId="10" borderId="7" xfId="0" applyNumberFormat="1" applyFont="1" applyFill="1" applyBorder="1" applyAlignment="1">
      <x:alignment vertical="center" wrapText="1"/>
    </x:xf>
    <x:xf numFmtId="0" fontId="45" fillId="10" borderId="7" xfId="0" applyNumberFormat="1" applyFont="1" applyFill="1" applyBorder="1" applyAlignment="1">
      <x:alignment vertical="center" wrapText="1"/>
    </x:xf>
    <x:xf numFmtId="0" fontId="45" fillId="10" borderId="39" xfId="0" applyNumberFormat="1" applyFont="1" applyFill="1" applyBorder="1" applyAlignment="1">
      <x:alignment vertical="center" wrapText="1"/>
    </x:xf>
    <x:xf numFmtId="0" fontId="45" fillId="10" borderId="44" xfId="0" applyNumberFormat="1" applyFont="1" applyFill="1" applyBorder="1" applyAlignment="1">
      <x:alignment vertical="center" wrapText="1"/>
    </x:xf>
    <x:xf numFmtId="0" fontId="45" fillId="10" borderId="45" xfId="0" applyNumberFormat="1" applyFont="1" applyFill="1" applyBorder="1" applyAlignment="1">
      <x:alignment vertical="center" wrapText="1"/>
    </x:xf>
    <x:xf numFmtId="0" fontId="37" fillId="13" borderId="46" xfId="0" applyNumberFormat="1" applyFont="1" applyFill="1" applyBorder="1" applyAlignment="1">
      <x:alignment vertical="center" wrapText="1"/>
    </x:xf>
    <x:xf numFmtId="0" fontId="45" fillId="10" borderId="47" xfId="0" applyNumberFormat="1" applyFont="1" applyFill="1" applyBorder="1" applyAlignment="1">
      <x:alignment vertical="center" wrapText="1"/>
    </x:xf>
    <x:xf numFmtId="0" fontId="37" fillId="13" borderId="48" xfId="0" applyNumberFormat="1" applyFont="1" applyFill="1" applyBorder="1" applyAlignment="1">
      <x:alignment vertical="center" wrapText="1"/>
    </x:xf>
    <x:xf numFmtId="0" fontId="45" fillId="10" borderId="49" xfId="0" applyNumberFormat="1" applyFont="1" applyFill="1" applyBorder="1" applyAlignment="1">
      <x:alignment vertical="center" wrapText="1"/>
    </x:xf>
    <x:xf numFmtId="0" fontId="41" fillId="11" borderId="0" xfId="0" applyNumberFormat="1" applyFont="1" applyFill="1" applyBorder="1" applyAlignment="1">
      <x:alignment horizontal="center" vertical="center" wrapText="1"/>
    </x:xf>
    <x:xf numFmtId="0" fontId="39" fillId="11" borderId="0" xfId="0" applyNumberFormat="1" applyFont="1" applyFill="1" applyBorder="1" applyAlignment="1">
      <x:alignment horizontal="center" vertical="center" wrapText="1"/>
    </x:xf>
    <x:xf numFmtId="0" fontId="39" fillId="11" borderId="50" xfId="0" applyNumberFormat="1" applyFont="1" applyFill="1" applyBorder="1" applyAlignment="1">
      <x:alignment horizontal="center" vertical="center" wrapText="1"/>
    </x:xf>
    <x:xf numFmtId="0" fontId="39" fillId="11" borderId="51" xfId="0" applyNumberFormat="1" applyFont="1" applyFill="1" applyBorder="1" applyAlignment="1">
      <x:alignment horizontal="center" vertical="center" wrapText="1"/>
    </x:xf>
    <x:xf numFmtId="0" fontId="39" fillId="11" borderId="52" xfId="0" applyNumberFormat="1" applyFont="1" applyFill="1" applyBorder="1" applyAlignment="1">
      <x:alignment horizontal="center" vertical="center" wrapText="1"/>
    </x:xf>
    <x:xf numFmtId="0" fontId="41" fillId="11" borderId="5" xfId="0" applyNumberFormat="1" applyFont="1" applyFill="1" applyBorder="1" applyAlignment="1">
      <x:alignment horizontal="center" vertical="center" wrapText="1"/>
    </x:xf>
    <x:xf numFmtId="0" fontId="39" fillId="11" borderId="5" xfId="0" applyNumberFormat="1" applyFont="1" applyFill="1" applyBorder="1" applyAlignment="1">
      <x:alignment horizontal="center" vertical="center" wrapText="1"/>
    </x:xf>
    <x:xf numFmtId="0" fontId="39" fillId="11" borderId="53" xfId="0" applyNumberFormat="1" applyFont="1" applyFill="1" applyBorder="1" applyAlignment="1">
      <x:alignment horizontal="center" vertical="center" wrapText="1"/>
    </x:xf>
    <x:xf numFmtId="0" fontId="39" fillId="11" borderId="54" xfId="0" applyNumberFormat="1" applyFont="1" applyFill="1" applyBorder="1" applyAlignment="1">
      <x:alignment horizontal="center" vertical="center" wrapText="1"/>
    </x:xf>
    <x:xf numFmtId="0" fontId="39" fillId="11" borderId="55" xfId="0" applyNumberFormat="1" applyFont="1" applyFill="1" applyBorder="1" applyAlignment="1">
      <x:alignment horizontal="center" vertical="center" wrapText="1"/>
    </x:xf>
    <x:xf numFmtId="0" fontId="41" fillId="14" borderId="0" xfId="0" applyNumberFormat="1" applyFont="1" applyFill="1" applyBorder="1" applyAlignment="1">
      <x:alignment horizontal="center" vertical="center" wrapText="1"/>
    </x:xf>
    <x:xf numFmtId="0" fontId="39" fillId="14" borderId="0" xfId="0" applyNumberFormat="1" applyFont="1" applyFill="1" applyBorder="1" applyAlignment="1">
      <x:alignment horizontal="center" vertical="center" wrapText="1"/>
    </x:xf>
    <x:xf numFmtId="0" fontId="39" fillId="14" borderId="56" xfId="0" applyNumberFormat="1" applyFont="1" applyFill="1" applyBorder="1" applyAlignment="1">
      <x:alignment horizontal="center" vertical="center" wrapText="1"/>
    </x:xf>
    <x:xf numFmtId="0" fontId="39" fillId="14" borderId="57" xfId="0" applyNumberFormat="1" applyFont="1" applyFill="1" applyBorder="1" applyAlignment="1">
      <x:alignment horizontal="center" vertical="center" wrapText="1"/>
    </x:xf>
    <x:xf numFmtId="0" fontId="39" fillId="14" borderId="58" xfId="0" applyNumberFormat="1" applyFont="1" applyFill="1" applyBorder="1" applyAlignment="1">
      <x:alignment horizontal="center" vertical="center" wrapText="1"/>
    </x:xf>
    <x:xf numFmtId="0" fontId="41" fillId="14" borderId="5" xfId="0" applyNumberFormat="1" applyFont="1" applyFill="1" applyBorder="1" applyAlignment="1">
      <x:alignment horizontal="center" vertical="center" wrapText="1"/>
    </x:xf>
    <x:xf numFmtId="0" fontId="39" fillId="14" borderId="5" xfId="0" applyNumberFormat="1" applyFont="1" applyFill="1" applyBorder="1" applyAlignment="1">
      <x:alignment horizontal="center" vertical="center" wrapText="1"/>
    </x:xf>
    <x:xf numFmtId="0" fontId="39" fillId="14" borderId="59" xfId="0" applyNumberFormat="1" applyFont="1" applyFill="1" applyBorder="1" applyAlignment="1">
      <x:alignment horizontal="center" vertical="center" wrapText="1"/>
    </x:xf>
    <x:xf numFmtId="0" fontId="39" fillId="14" borderId="60" xfId="0" applyNumberFormat="1" applyFont="1" applyFill="1" applyBorder="1" applyAlignment="1">
      <x:alignment horizontal="center" vertical="center" wrapText="1"/>
    </x:xf>
    <x:xf numFmtId="0" fontId="39" fillId="14" borderId="61" xfId="0" applyNumberFormat="1" applyFont="1" applyFill="1" applyBorder="1" applyAlignment="1">
      <x:alignment horizontal="center" vertical="center" wrapText="1"/>
    </x:xf>
    <x:xf numFmtId="0" fontId="41" fillId="10" borderId="0" xfId="0" applyNumberFormat="1" applyFont="1" applyFill="1" applyBorder="1" applyAlignment="1">
      <x:alignment vertical="center" wrapText="1"/>
    </x:xf>
    <x:xf numFmtId="0" fontId="41" fillId="10" borderId="0" xfId="0" applyNumberFormat="1" applyFont="1" applyFill="1" applyBorder="1" applyAlignment="1">
      <x:alignment vertical="center"/>
    </x:xf>
    <x:xf numFmtId="0" fontId="40" fillId="10" borderId="0" xfId="0" applyNumberFormat="1" applyFont="1" applyFill="1" applyBorder="1" applyAlignment="1">
      <x:alignment horizontal="center" vertical="center" wrapText="1"/>
    </x:xf>
    <x:xf numFmtId="0" fontId="40" fillId="10" borderId="0" xfId="0" applyNumberFormat="1" applyFont="1" applyFill="1" applyBorder="1" applyAlignment="1">
      <x:alignment vertical="center" wrapText="1"/>
    </x:xf>
    <x:xf numFmtId="4" fontId="40" fillId="10" borderId="0" xfId="0" applyNumberFormat="1" applyFont="1" applyFill="1" applyBorder="1" applyAlignment="1">
      <x:alignment horizontal="right" vertical="center" wrapText="1"/>
    </x:xf>
    <x:xf numFmtId="164" fontId="40" fillId="10" borderId="0" xfId="0" applyNumberFormat="1" applyFont="1" applyFill="1" applyBorder="1" applyAlignment="1">
      <x:alignment horizontal="right" vertical="center" wrapText="1"/>
    </x:xf>
    <x:xf numFmtId="10" fontId="40" fillId="10" borderId="0" xfId="0" applyNumberFormat="1" applyFont="1" applyFill="1" applyBorder="1" applyAlignment="1">
      <x:alignment horizontal="right" vertical="center" wrapText="1"/>
    </x:xf>
    <x:xf numFmtId="0" fontId="41" fillId="10" borderId="62" xfId="0" applyNumberFormat="1" applyFont="1" applyFill="1" applyBorder="1" applyAlignment="1">
      <x:alignment vertical="center" wrapText="1"/>
    </x:xf>
    <x:xf numFmtId="0" fontId="41" fillId="10" borderId="63" xfId="0" applyNumberFormat="1" applyFont="1" applyFill="1" applyBorder="1" applyAlignment="1">
      <x:alignment vertical="center" wrapText="1"/>
    </x:xf>
    <x:xf numFmtId="0" fontId="41" fillId="10" borderId="63" xfId="0" applyNumberFormat="1" applyFont="1" applyFill="1" applyBorder="1" applyAlignment="1">
      <x:alignment vertical="center"/>
    </x:xf>
    <x:xf numFmtId="0" fontId="41" fillId="10" borderId="64" xfId="0" applyNumberFormat="1" applyFont="1" applyFill="1" applyBorder="1" applyAlignment="1">
      <x:alignment vertical="center"/>
    </x:xf>
    <x:xf numFmtId="0" fontId="41" fillId="10" borderId="65" xfId="0" applyNumberFormat="1" applyFont="1" applyFill="1" applyBorder="1" applyAlignment="1">
      <x:alignment vertical="center" wrapText="1"/>
    </x:xf>
    <x:xf numFmtId="0" fontId="41" fillId="10" borderId="66" xfId="0" applyNumberFormat="1" applyFont="1" applyFill="1" applyBorder="1" applyAlignment="1">
      <x:alignment vertical="center"/>
    </x:xf>
    <x:xf numFmtId="0" fontId="40" fillId="10" borderId="65" xfId="0" applyNumberFormat="1" applyFont="1" applyFill="1" applyBorder="1" applyAlignment="1">
      <x:alignment horizontal="center" vertical="center" wrapText="1"/>
    </x:xf>
    <x:xf numFmtId="10" fontId="40" fillId="10" borderId="66" xfId="0" applyNumberFormat="1" applyFont="1" applyFill="1" applyBorder="1" applyAlignment="1">
      <x:alignment horizontal="right" vertical="center" wrapText="1"/>
    </x:xf>
    <x:xf numFmtId="0" fontId="40" fillId="10" borderId="67" xfId="0" applyNumberFormat="1" applyFont="1" applyFill="1" applyBorder="1" applyAlignment="1">
      <x:alignment horizontal="center" vertical="center" wrapText="1"/>
    </x:xf>
    <x:xf numFmtId="0" fontId="40" fillId="10" borderId="68" xfId="0" applyNumberFormat="1" applyFont="1" applyFill="1" applyBorder="1" applyAlignment="1">
      <x:alignment vertical="center" wrapText="1"/>
    </x:xf>
    <x:xf numFmtId="0" fontId="40" fillId="10" borderId="68" xfId="0" applyNumberFormat="1" applyFont="1" applyFill="1" applyBorder="1" applyAlignment="1">
      <x:alignment horizontal="center" vertical="center" wrapText="1"/>
    </x:xf>
    <x:xf numFmtId="4" fontId="40" fillId="10" borderId="68" xfId="0" applyNumberFormat="1" applyFont="1" applyFill="1" applyBorder="1" applyAlignment="1">
      <x:alignment horizontal="right" vertical="center" wrapText="1"/>
    </x:xf>
    <x:xf numFmtId="164" fontId="40" fillId="10" borderId="68" xfId="0" applyNumberFormat="1" applyFont="1" applyFill="1" applyBorder="1" applyAlignment="1">
      <x:alignment horizontal="right" vertical="center" wrapText="1"/>
    </x:xf>
    <x:xf numFmtId="10" fontId="40" fillId="10" borderId="69" xfId="0" applyNumberFormat="1" applyFont="1" applyFill="1" applyBorder="1" applyAlignment="1">
      <x:alignment horizontal="right" vertical="center" wrapText="1"/>
    </x:xf>
    <x:xf numFmtId="0" fontId="41" fillId="10" borderId="5" xfId="0" applyNumberFormat="1" applyFont="1" applyFill="1" applyBorder="1" applyAlignment="1">
      <x:alignment vertical="center" wrapText="1"/>
    </x:xf>
    <x:xf numFmtId="0" fontId="41" fillId="10" borderId="5" xfId="0" applyNumberFormat="1" applyFont="1" applyFill="1" applyBorder="1" applyAlignment="1">
      <x:alignment vertical="center"/>
    </x:xf>
    <x:xf numFmtId="0" fontId="40" fillId="10" borderId="5" xfId="0" applyNumberFormat="1" applyFont="1" applyFill="1" applyBorder="1" applyAlignment="1">
      <x:alignment horizontal="center" vertical="center" wrapText="1"/>
    </x:xf>
    <x:xf numFmtId="0" fontId="40" fillId="10" borderId="5" xfId="0" applyNumberFormat="1" applyFont="1" applyFill="1" applyBorder="1" applyAlignment="1">
      <x:alignment vertical="center" wrapText="1"/>
    </x:xf>
    <x:xf numFmtId="4" fontId="40" fillId="10" borderId="5" xfId="0" applyNumberFormat="1" applyFont="1" applyFill="1" applyBorder="1" applyAlignment="1">
      <x:alignment horizontal="right" vertical="center" wrapText="1"/>
    </x:xf>
    <x:xf numFmtId="164" fontId="40" fillId="10" borderId="5" xfId="0" applyNumberFormat="1" applyFont="1" applyFill="1" applyBorder="1" applyAlignment="1">
      <x:alignment horizontal="right" vertical="center" wrapText="1"/>
    </x:xf>
    <x:xf numFmtId="10" fontId="40" fillId="10" borderId="5" xfId="0" applyNumberFormat="1" applyFont="1" applyFill="1" applyBorder="1" applyAlignment="1">
      <x:alignment horizontal="right" vertical="center" wrapText="1"/>
    </x:xf>
    <x:xf numFmtId="0" fontId="41" fillId="10" borderId="70" xfId="0" applyNumberFormat="1" applyFont="1" applyFill="1" applyBorder="1" applyAlignment="1">
      <x:alignment vertical="center" wrapText="1"/>
    </x:xf>
    <x:xf numFmtId="0" fontId="41" fillId="10" borderId="71" xfId="0" applyNumberFormat="1" applyFont="1" applyFill="1" applyBorder="1" applyAlignment="1">
      <x:alignment vertical="center" wrapText="1"/>
    </x:xf>
    <x:xf numFmtId="0" fontId="41" fillId="10" borderId="71" xfId="0" applyNumberFormat="1" applyFont="1" applyFill="1" applyBorder="1" applyAlignment="1">
      <x:alignment vertical="center"/>
    </x:xf>
    <x:xf numFmtId="0" fontId="41" fillId="10" borderId="72" xfId="0" applyNumberFormat="1" applyFont="1" applyFill="1" applyBorder="1" applyAlignment="1">
      <x:alignment vertical="center"/>
    </x:xf>
    <x:xf numFmtId="0" fontId="41" fillId="10" borderId="73" xfId="0" applyNumberFormat="1" applyFont="1" applyFill="1" applyBorder="1" applyAlignment="1">
      <x:alignment vertical="center" wrapText="1"/>
    </x:xf>
    <x:xf numFmtId="0" fontId="41" fillId="10" borderId="74" xfId="0" applyNumberFormat="1" applyFont="1" applyFill="1" applyBorder="1" applyAlignment="1">
      <x:alignment vertical="center"/>
    </x:xf>
    <x:xf numFmtId="0" fontId="40" fillId="10" borderId="73" xfId="0" applyNumberFormat="1" applyFont="1" applyFill="1" applyBorder="1" applyAlignment="1">
      <x:alignment horizontal="center" vertical="center" wrapText="1"/>
    </x:xf>
    <x:xf numFmtId="10" fontId="40" fillId="10" borderId="74" xfId="0" applyNumberFormat="1" applyFont="1" applyFill="1" applyBorder="1" applyAlignment="1">
      <x:alignment horizontal="right" vertical="center" wrapText="1"/>
    </x:xf>
    <x:xf numFmtId="0" fontId="40" fillId="10" borderId="75" xfId="0" applyNumberFormat="1" applyFont="1" applyFill="1" applyBorder="1" applyAlignment="1">
      <x:alignment horizontal="center" vertical="center" wrapText="1"/>
    </x:xf>
    <x:xf numFmtId="0" fontId="40" fillId="10" borderId="76" xfId="0" applyNumberFormat="1" applyFont="1" applyFill="1" applyBorder="1" applyAlignment="1">
      <x:alignment vertical="center" wrapText="1"/>
    </x:xf>
    <x:xf numFmtId="0" fontId="40" fillId="10" borderId="76" xfId="0" applyNumberFormat="1" applyFont="1" applyFill="1" applyBorder="1" applyAlignment="1">
      <x:alignment horizontal="center" vertical="center" wrapText="1"/>
    </x:xf>
    <x:xf numFmtId="4" fontId="40" fillId="10" borderId="76" xfId="0" applyNumberFormat="1" applyFont="1" applyFill="1" applyBorder="1" applyAlignment="1">
      <x:alignment horizontal="right" vertical="center" wrapText="1"/>
    </x:xf>
    <x:xf numFmtId="164" fontId="40" fillId="10" borderId="76" xfId="0" applyNumberFormat="1" applyFont="1" applyFill="1" applyBorder="1" applyAlignment="1">
      <x:alignment horizontal="right" vertical="center" wrapText="1"/>
    </x:xf>
    <x:xf numFmtId="10" fontId="40" fillId="10" borderId="77" xfId="0" applyNumberFormat="1" applyFont="1" applyFill="1" applyBorder="1" applyAlignment="1">
      <x:alignment horizontal="right" vertical="center" wrapText="1"/>
    </x:xf>
    <x:xf numFmtId="0" fontId="41" fillId="10" borderId="62" xfId="0" applyNumberFormat="1" applyFont="1" applyFill="1" applyBorder="1" applyAlignment="1">
      <x:alignment horizontal="center" vertical="center" wrapText="1"/>
    </x:xf>
    <x:xf numFmtId="0" fontId="41" fillId="10" borderId="65" xfId="0" applyNumberFormat="1" applyFont="1" applyFill="1" applyBorder="1" applyAlignment="1">
      <x:alignment horizontal="center" vertical="center" wrapText="1"/>
    </x:xf>
    <x:xf numFmtId="0" fontId="41" fillId="10" borderId="70" xfId="0" applyNumberFormat="1" applyFont="1" applyFill="1" applyBorder="1" applyAlignment="1">
      <x:alignment horizontal="center" vertical="center" wrapText="1"/>
    </x:xf>
    <x:xf numFmtId="0" fontId="41" fillId="10" borderId="73" xfId="0" applyNumberFormat="1" applyFont="1" applyFill="1" applyBorder="1" applyAlignment="1">
      <x:alignment horizontal="center" vertical="center" wrapText="1"/>
    </x:xf>
    <x:xf numFmtId="0" fontId="41" fillId="10" borderId="63" xfId="0" applyNumberFormat="1" applyFont="1" applyFill="1" applyBorder="1" applyAlignment="1">
      <x:alignment horizontal="center" vertical="center"/>
    </x:xf>
    <x:xf numFmtId="0" fontId="41" fillId="10" borderId="64" xfId="0" applyNumberFormat="1" applyFont="1" applyFill="1" applyBorder="1" applyAlignment="1">
      <x:alignment horizontal="center" vertical="center"/>
    </x:xf>
    <x:xf numFmtId="0" fontId="41" fillId="10" borderId="0" xfId="0" applyNumberFormat="1" applyFont="1" applyFill="1" applyBorder="1" applyAlignment="1">
      <x:alignment horizontal="center" vertical="center"/>
    </x:xf>
    <x:xf numFmtId="0" fontId="41" fillId="10" borderId="66" xfId="0" applyNumberFormat="1" applyFont="1" applyFill="1" applyBorder="1" applyAlignment="1">
      <x:alignment horizontal="center" vertical="center"/>
    </x:xf>
    <x:xf numFmtId="4" fontId="40" fillId="10" borderId="0" xfId="0" applyNumberFormat="1" applyFont="1" applyFill="1" applyBorder="1" applyAlignment="1">
      <x:alignment horizontal="center" vertical="center" wrapText="1"/>
    </x:xf>
    <x:xf numFmtId="164" fontId="40" fillId="10" borderId="0" xfId="0" applyNumberFormat="1" applyFont="1" applyFill="1" applyBorder="1" applyAlignment="1">
      <x:alignment horizontal="center" vertical="center" wrapText="1"/>
    </x:xf>
    <x:xf numFmtId="10" fontId="40" fillId="10" borderId="66" xfId="0" applyNumberFormat="1" applyFont="1" applyFill="1" applyBorder="1" applyAlignment="1">
      <x:alignment horizontal="center" vertical="center" wrapText="1"/>
    </x:xf>
    <x:xf numFmtId="4" fontId="40" fillId="10" borderId="68" xfId="0" applyNumberFormat="1" applyFont="1" applyFill="1" applyBorder="1" applyAlignment="1">
      <x:alignment horizontal="center" vertical="center" wrapText="1"/>
    </x:xf>
    <x:xf numFmtId="164" fontId="40" fillId="10" borderId="68" xfId="0" applyNumberFormat="1" applyFont="1" applyFill="1" applyBorder="1" applyAlignment="1">
      <x:alignment horizontal="center" vertical="center" wrapText="1"/>
    </x:xf>
    <x:xf numFmtId="10" fontId="40" fillId="10" borderId="69" xfId="0" applyNumberFormat="1" applyFont="1" applyFill="1" applyBorder="1" applyAlignment="1">
      <x:alignment horizontal="center" vertical="center" wrapText="1"/>
    </x:xf>
    <x:xf numFmtId="0" fontId="41" fillId="10" borderId="71" xfId="0" applyNumberFormat="1" applyFont="1" applyFill="1" applyBorder="1" applyAlignment="1">
      <x:alignment horizontal="center" vertical="center"/>
    </x:xf>
    <x:xf numFmtId="0" fontId="41" fillId="10" borderId="72" xfId="0" applyNumberFormat="1" applyFont="1" applyFill="1" applyBorder="1" applyAlignment="1">
      <x:alignment horizontal="center" vertical="center"/>
    </x:xf>
    <x:xf numFmtId="0" fontId="41" fillId="10" borderId="5" xfId="0" applyNumberFormat="1" applyFont="1" applyFill="1" applyBorder="1" applyAlignment="1">
      <x:alignment horizontal="center" vertical="center"/>
    </x:xf>
    <x:xf numFmtId="0" fontId="41" fillId="10" borderId="74" xfId="0" applyNumberFormat="1" applyFont="1" applyFill="1" applyBorder="1" applyAlignment="1">
      <x:alignment horizontal="center" vertical="center"/>
    </x:xf>
    <x:xf numFmtId="4" fontId="40" fillId="10" borderId="5" xfId="0" applyNumberFormat="1" applyFont="1" applyFill="1" applyBorder="1" applyAlignment="1">
      <x:alignment horizontal="center" vertical="center" wrapText="1"/>
    </x:xf>
    <x:xf numFmtId="164" fontId="40" fillId="10" borderId="5" xfId="0" applyNumberFormat="1" applyFont="1" applyFill="1" applyBorder="1" applyAlignment="1">
      <x:alignment horizontal="center" vertical="center" wrapText="1"/>
    </x:xf>
    <x:xf numFmtId="10" fontId="40" fillId="10" borderId="74" xfId="0" applyNumberFormat="1" applyFont="1" applyFill="1" applyBorder="1" applyAlignment="1">
      <x:alignment horizontal="center" vertical="center" wrapText="1"/>
    </x:xf>
    <x:xf numFmtId="4" fontId="40" fillId="10" borderId="76" xfId="0" applyNumberFormat="1" applyFont="1" applyFill="1" applyBorder="1" applyAlignment="1">
      <x:alignment horizontal="center" vertical="center" wrapText="1"/>
    </x:xf>
    <x:xf numFmtId="164" fontId="40" fillId="10" borderId="76" xfId="0" applyNumberFormat="1" applyFont="1" applyFill="1" applyBorder="1" applyAlignment="1">
      <x:alignment horizontal="center" vertical="center" wrapText="1"/>
    </x:xf>
    <x:xf numFmtId="10" fontId="40" fillId="10" borderId="77" xfId="0" applyNumberFormat="1" applyFont="1" applyFill="1" applyBorder="1" applyAlignment="1">
      <x:alignment horizontal="center" vertical="center" wrapText="1"/>
    </x:xf>
    <x:xf numFmtId="4" fontId="40" fillId="15" borderId="0" xfId="0" applyNumberFormat="1" applyFont="1" applyFill="1" applyBorder="1" applyAlignment="1">
      <x:alignment horizontal="center" vertical="center" wrapText="1"/>
    </x:xf>
    <x:xf numFmtId="4" fontId="45" fillId="15" borderId="0" xfId="0" applyNumberFormat="1" applyFont="1" applyFill="1" applyBorder="1" applyAlignment="1">
      <x:alignment horizontal="center" vertical="center" wrapText="1"/>
    </x:xf>
    <x:xf numFmtId="4" fontId="45" fillId="15" borderId="78" xfId="0" applyNumberFormat="1" applyFont="1" applyFill="1" applyBorder="1" applyAlignment="1">
      <x:alignment horizontal="center" vertical="center" wrapText="1"/>
    </x:xf>
    <x:xf numFmtId="4" fontId="40" fillId="15" borderId="5" xfId="0" applyNumberFormat="1" applyFont="1" applyFill="1" applyBorder="1" applyAlignment="1">
      <x:alignment horizontal="center" vertical="center" wrapText="1"/>
    </x:xf>
    <x:xf numFmtId="4" fontId="45" fillId="15" borderId="5" xfId="0" applyNumberFormat="1" applyFont="1" applyFill="1" applyBorder="1" applyAlignment="1">
      <x:alignment horizontal="center" vertical="center" wrapText="1"/>
    </x:xf>
    <x:xf numFmtId="4" fontId="45" fillId="15" borderId="79" xfId="0" applyNumberFormat="1" applyFont="1" applyFill="1" applyBorder="1" applyAlignment="1">
      <x:alignment horizontal="center" vertical="center" wrapText="1"/>
    </x:xf>
    <x:xf numFmtId="4" fontId="46" fillId="10" borderId="0" xfId="0" applyNumberFormat="1" applyFont="1" applyFill="1" applyBorder="1" applyAlignment="1">
      <x:alignment horizontal="center" vertical="center" wrapText="1"/>
    </x:xf>
    <x:xf numFmtId="4" fontId="37" fillId="15" borderId="78" xfId="0" applyNumberFormat="1" applyFont="1" applyFill="1" applyBorder="1" applyAlignment="1">
      <x:alignment horizontal="center" vertical="center" wrapText="1"/>
    </x:xf>
    <x:xf numFmtId="4" fontId="46" fillId="10" borderId="5" xfId="0" applyNumberFormat="1" applyFont="1" applyFill="1" applyBorder="1" applyAlignment="1">
      <x:alignment horizontal="center" vertical="center" wrapText="1"/>
    </x:xf>
    <x:xf numFmtId="4" fontId="37" fillId="15" borderId="79" xfId="0" applyNumberFormat="1" applyFont="1" applyFill="1" applyBorder="1" applyAlignment="1">
      <x:alignment horizontal="center" vertical="center" wrapText="1"/>
    </x:xf>
    <x:xf numFmtId="164" fontId="40" fillId="16" borderId="0" xfId="0" applyNumberFormat="1" applyFont="1" applyFill="1" applyBorder="1" applyAlignment="1">
      <x:alignment horizontal="center" vertical="center" wrapText="1"/>
    </x:xf>
    <x:xf numFmtId="164" fontId="40" fillId="16" borderId="5" xfId="0" applyNumberFormat="1" applyFont="1" applyFill="1" applyBorder="1" applyAlignment="1">
      <x:alignment horizontal="center" vertical="center" wrapText="1"/>
    </x:xf>
    <x:xf numFmtId="0" fontId="40" fillId="17" borderId="65" xfId="0" applyNumberFormat="1" applyFont="1" applyFill="1" applyBorder="1" applyAlignment="1">
      <x:alignment horizontal="center" vertical="center" wrapText="1"/>
    </x:xf>
    <x:xf numFmtId="0" fontId="40" fillId="17" borderId="0" xfId="0" applyNumberFormat="1" applyFont="1" applyFill="1" applyBorder="1" applyAlignment="1">
      <x:alignment vertical="center" wrapText="1"/>
    </x:xf>
    <x:xf numFmtId="0" fontId="40" fillId="17" borderId="0" xfId="0" applyNumberFormat="1" applyFont="1" applyFill="1" applyBorder="1" applyAlignment="1">
      <x:alignment horizontal="center" vertical="center" wrapText="1"/>
    </x:xf>
    <x:xf numFmtId="4" fontId="40" fillId="17" borderId="0" xfId="0" applyNumberFormat="1" applyFont="1" applyFill="1" applyBorder="1" applyAlignment="1">
      <x:alignment horizontal="center" vertical="center" wrapText="1"/>
    </x:xf>
    <x:xf numFmtId="164" fontId="40" fillId="17" borderId="0" xfId="0" applyNumberFormat="1" applyFont="1" applyFill="1" applyBorder="1" applyAlignment="1">
      <x:alignment horizontal="center" vertical="center" wrapText="1"/>
    </x:xf>
    <x:xf numFmtId="10" fontId="40" fillId="17" borderId="66" xfId="0" applyNumberFormat="1" applyFont="1" applyFill="1" applyBorder="1" applyAlignment="1">
      <x:alignment horizontal="center" vertical="center" wrapText="1"/>
    </x:xf>
    <x:xf numFmtId="0" fontId="40" fillId="17" borderId="73" xfId="0" applyNumberFormat="1" applyFont="1" applyFill="1" applyBorder="1" applyAlignment="1">
      <x:alignment horizontal="center" vertical="center" wrapText="1"/>
    </x:xf>
    <x:xf numFmtId="0" fontId="40" fillId="17" borderId="5" xfId="0" applyNumberFormat="1" applyFont="1" applyFill="1" applyBorder="1" applyAlignment="1">
      <x:alignment vertical="center" wrapText="1"/>
    </x:xf>
    <x:xf numFmtId="0" fontId="40" fillId="17" borderId="5" xfId="0" applyNumberFormat="1" applyFont="1" applyFill="1" applyBorder="1" applyAlignment="1">
      <x:alignment horizontal="center" vertical="center" wrapText="1"/>
    </x:xf>
    <x:xf numFmtId="4" fontId="40" fillId="17" borderId="5" xfId="0" applyNumberFormat="1" applyFont="1" applyFill="1" applyBorder="1" applyAlignment="1">
      <x:alignment horizontal="center" vertical="center" wrapText="1"/>
    </x:xf>
    <x:xf numFmtId="164" fontId="40" fillId="17" borderId="5" xfId="0" applyNumberFormat="1" applyFont="1" applyFill="1" applyBorder="1" applyAlignment="1">
      <x:alignment horizontal="center" vertical="center" wrapText="1"/>
    </x:xf>
    <x:xf numFmtId="10" fontId="40" fillId="17" borderId="74" xfId="0" applyNumberFormat="1" applyFont="1" applyFill="1" applyBorder="1" applyAlignment="1">
      <x:alignment horizontal="center" vertical="center" wrapText="1"/>
    </x:xf>
    <x:xf numFmtId="4" fontId="46" fillId="17" borderId="0" xfId="0" applyNumberFormat="1" applyFont="1" applyFill="1" applyBorder="1" applyAlignment="1">
      <x:alignment horizontal="center" vertical="center" wrapText="1"/>
    </x:xf>
    <x:xf numFmtId="4" fontId="46" fillId="17" borderId="5" xfId="0" applyNumberFormat="1" applyFont="1" applyFill="1" applyBorder="1" applyAlignment="1">
      <x:alignment horizontal="center" vertical="center" wrapText="1"/>
    </x:xf>
    <x:xf numFmtId="4" fontId="40" fillId="15" borderId="68" xfId="0" applyNumberFormat="1" applyFont="1" applyFill="1" applyBorder="1" applyAlignment="1">
      <x:alignment horizontal="center" vertical="center" wrapText="1"/>
    </x:xf>
    <x:xf numFmtId="4" fontId="45" fillId="15" borderId="68" xfId="0" applyNumberFormat="1" applyFont="1" applyFill="1" applyBorder="1" applyAlignment="1">
      <x:alignment horizontal="center" vertical="center" wrapText="1"/>
    </x:xf>
    <x:xf numFmtId="4" fontId="40" fillId="15" borderId="76" xfId="0" applyNumberFormat="1" applyFont="1" applyFill="1" applyBorder="1" applyAlignment="1">
      <x:alignment horizontal="center" vertical="center" wrapText="1"/>
    </x:xf>
    <x:xf numFmtId="4" fontId="45" fillId="15" borderId="76" xfId="0" applyNumberFormat="1" applyFont="1" applyFill="1" applyBorder="1" applyAlignment="1">
      <x:alignment horizontal="center" vertical="center" wrapText="1"/>
    </x:xf>
    <x:xf numFmtId="4" fontId="46" fillId="10" borderId="68" xfId="0" applyNumberFormat="1" applyFont="1" applyFill="1" applyBorder="1" applyAlignment="1">
      <x:alignment horizontal="center" vertical="center" wrapText="1"/>
    </x:xf>
    <x:xf numFmtId="4" fontId="46" fillId="10" borderId="76" xfId="0" applyNumberFormat="1" applyFont="1" applyFill="1" applyBorder="1" applyAlignment="1">
      <x:alignment horizontal="center" vertical="center" wrapText="1"/>
    </x:xf>
    <x:xf numFmtId="164" fontId="40" fillId="16" borderId="68" xfId="0" applyNumberFormat="1" applyFont="1" applyFill="1" applyBorder="1" applyAlignment="1">
      <x:alignment horizontal="center" vertical="center" wrapText="1"/>
    </x:xf>
    <x:xf numFmtId="164" fontId="40" fillId="16" borderId="76" xfId="0" applyNumberFormat="1" applyFont="1" applyFill="1" applyBorder="1" applyAlignment="1">
      <x:alignment horizontal="center" vertical="center" wrapText="1"/>
    </x:xf>
    <x:xf numFmtId="0" fontId="41" fillId="11" borderId="62" xfId="0" applyNumberFormat="1" applyFont="1" applyFill="1" applyBorder="1" applyAlignment="1">
      <x:alignment horizontal="center" vertical="center" wrapText="1"/>
    </x:xf>
    <x:xf numFmtId="0" fontId="41" fillId="11" borderId="63" xfId="0" applyNumberFormat="1" applyFont="1" applyFill="1" applyBorder="1" applyAlignment="1">
      <x:alignment vertical="center" wrapText="1"/>
    </x:xf>
    <x:xf numFmtId="0" fontId="41" fillId="11" borderId="63" xfId="0" applyNumberFormat="1" applyFont="1" applyFill="1" applyBorder="1" applyAlignment="1">
      <x:alignment horizontal="center" vertical="center"/>
    </x:xf>
    <x:xf numFmtId="0" fontId="41" fillId="11" borderId="64" xfId="0" applyNumberFormat="1" applyFont="1" applyFill="1" applyBorder="1" applyAlignment="1">
      <x:alignment horizontal="center" vertical="center"/>
    </x:xf>
    <x:xf numFmtId="0" fontId="47" fillId="11" borderId="62" xfId="0" applyNumberFormat="1" applyFont="1" applyFill="1" applyBorder="1" applyAlignment="1">
      <x:alignment horizontal="center" vertical="center" wrapText="1"/>
    </x:xf>
    <x:xf numFmtId="0" fontId="47" fillId="11" borderId="63" xfId="0" applyNumberFormat="1" applyFont="1" applyFill="1" applyBorder="1" applyAlignment="1">
      <x:alignment vertical="center" wrapText="1"/>
    </x:xf>
    <x:xf numFmtId="0" fontId="47" fillId="11" borderId="63" xfId="0" applyNumberFormat="1" applyFont="1" applyFill="1" applyBorder="1" applyAlignment="1">
      <x:alignment horizontal="center" vertical="center"/>
    </x:xf>
    <x:xf numFmtId="0" fontId="47" fillId="11" borderId="64" xfId="0" applyNumberFormat="1" applyFont="1" applyFill="1" applyBorder="1" applyAlignment="1">
      <x:alignment horizontal="center" vertical="center"/>
    </x:xf>
    <x:xf numFmtId="0" fontId="47" fillId="11" borderId="50" xfId="0" applyNumberFormat="1" applyFont="1" applyFill="1" applyBorder="1" applyAlignment="1">
      <x:alignment horizontal="center" vertical="center" wrapText="1"/>
    </x:xf>
    <x:xf numFmtId="0" fontId="47" fillId="11" borderId="51" xfId="0" applyNumberFormat="1" applyFont="1" applyFill="1" applyBorder="1" applyAlignment="1">
      <x:alignment vertical="center" wrapText="1"/>
    </x:xf>
    <x:xf numFmtId="0" fontId="47" fillId="11" borderId="51" xfId="0" applyNumberFormat="1" applyFont="1" applyFill="1" applyBorder="1" applyAlignment="1">
      <x:alignment horizontal="center" vertical="center"/>
    </x:xf>
    <x:xf numFmtId="0" fontId="47" fillId="11" borderId="52" xfId="0" applyNumberFormat="1" applyFont="1" applyFill="1" applyBorder="1" applyAlignment="1">
      <x:alignment horizontal="center" vertical="center"/>
    </x:xf>
    <x:xf numFmtId="0" fontId="41" fillId="11" borderId="70" xfId="0" applyNumberFormat="1" applyFont="1" applyFill="1" applyBorder="1" applyAlignment="1">
      <x:alignment horizontal="center" vertical="center" wrapText="1"/>
    </x:xf>
    <x:xf numFmtId="0" fontId="41" fillId="11" borderId="71" xfId="0" applyNumberFormat="1" applyFont="1" applyFill="1" applyBorder="1" applyAlignment="1">
      <x:alignment vertical="center" wrapText="1"/>
    </x:xf>
    <x:xf numFmtId="0" fontId="41" fillId="11" borderId="71" xfId="0" applyNumberFormat="1" applyFont="1" applyFill="1" applyBorder="1" applyAlignment="1">
      <x:alignment horizontal="center" vertical="center"/>
    </x:xf>
    <x:xf numFmtId="0" fontId="41" fillId="11" borderId="72" xfId="0" applyNumberFormat="1" applyFont="1" applyFill="1" applyBorder="1" applyAlignment="1">
      <x:alignment horizontal="center" vertical="center"/>
    </x:xf>
    <x:xf numFmtId="0" fontId="47" fillId="11" borderId="70" xfId="0" applyNumberFormat="1" applyFont="1" applyFill="1" applyBorder="1" applyAlignment="1">
      <x:alignment horizontal="center" vertical="center" wrapText="1"/>
    </x:xf>
    <x:xf numFmtId="0" fontId="47" fillId="11" borderId="71" xfId="0" applyNumberFormat="1" applyFont="1" applyFill="1" applyBorder="1" applyAlignment="1">
      <x:alignment vertical="center" wrapText="1"/>
    </x:xf>
    <x:xf numFmtId="0" fontId="47" fillId="11" borderId="71" xfId="0" applyNumberFormat="1" applyFont="1" applyFill="1" applyBorder="1" applyAlignment="1">
      <x:alignment horizontal="center" vertical="center"/>
    </x:xf>
    <x:xf numFmtId="0" fontId="47" fillId="11" borderId="72" xfId="0" applyNumberFormat="1" applyFont="1" applyFill="1" applyBorder="1" applyAlignment="1">
      <x:alignment horizontal="center" vertical="center"/>
    </x:xf>
    <x:xf numFmtId="0" fontId="47" fillId="11" borderId="53" xfId="0" applyNumberFormat="1" applyFont="1" applyFill="1" applyBorder="1" applyAlignment="1">
      <x:alignment horizontal="center" vertical="center" wrapText="1"/>
    </x:xf>
    <x:xf numFmtId="0" fontId="47" fillId="11" borderId="54" xfId="0" applyNumberFormat="1" applyFont="1" applyFill="1" applyBorder="1" applyAlignment="1">
      <x:alignment vertical="center" wrapText="1"/>
    </x:xf>
    <x:xf numFmtId="0" fontId="47" fillId="11" borderId="54" xfId="0" applyNumberFormat="1" applyFont="1" applyFill="1" applyBorder="1" applyAlignment="1">
      <x:alignment horizontal="center" vertical="center"/>
    </x:xf>
    <x:xf numFmtId="0" fontId="47" fillId="11" borderId="55" xfId="0" applyNumberFormat="1" applyFont="1" applyFill="1" applyBorder="1" applyAlignment="1">
      <x:alignment horizontal="center" vertical="center"/>
    </x:xf>
    <x:xf numFmtId="0" fontId="41" fillId="15" borderId="65" xfId="0" applyNumberFormat="1" applyFont="1" applyFill="1" applyBorder="1" applyAlignment="1">
      <x:alignment horizontal="center" vertical="center" wrapText="1"/>
    </x:xf>
    <x:xf numFmtId="0" fontId="41" fillId="15" borderId="0" xfId="0" applyNumberFormat="1" applyFont="1" applyFill="1" applyBorder="1" applyAlignment="1">
      <x:alignment vertical="center" wrapText="1"/>
    </x:xf>
    <x:xf numFmtId="0" fontId="41" fillId="15" borderId="0" xfId="0" applyNumberFormat="1" applyFont="1" applyFill="1" applyBorder="1" applyAlignment="1">
      <x:alignment horizontal="center" vertical="center"/>
    </x:xf>
    <x:xf numFmtId="0" fontId="41" fillId="15" borderId="66" xfId="0" applyNumberFormat="1" applyFont="1" applyFill="1" applyBorder="1" applyAlignment="1">
      <x:alignment horizontal="center" vertical="center"/>
    </x:xf>
    <x:xf numFmtId="0" fontId="45" fillId="15" borderId="65" xfId="0" applyNumberFormat="1" applyFont="1" applyFill="1" applyBorder="1" applyAlignment="1">
      <x:alignment horizontal="center" vertical="center" wrapText="1"/>
    </x:xf>
    <x:xf numFmtId="0" fontId="45" fillId="15" borderId="0" xfId="0" applyNumberFormat="1" applyFont="1" applyFill="1" applyBorder="1" applyAlignment="1">
      <x:alignment vertical="center" wrapText="1"/>
    </x:xf>
    <x:xf numFmtId="0" fontId="45" fillId="15" borderId="0" xfId="0" applyNumberFormat="1" applyFont="1" applyFill="1" applyBorder="1" applyAlignment="1">
      <x:alignment horizontal="center" vertical="center"/>
    </x:xf>
    <x:xf numFmtId="0" fontId="45" fillId="15" borderId="66" xfId="0" applyNumberFormat="1" applyFont="1" applyFill="1" applyBorder="1" applyAlignment="1">
      <x:alignment horizontal="center" vertical="center"/>
    </x:xf>
    <x:xf numFmtId="0" fontId="45" fillId="15" borderId="80" xfId="0" applyNumberFormat="1" applyFont="1" applyFill="1" applyBorder="1" applyAlignment="1">
      <x:alignment horizontal="center" vertical="center" wrapText="1"/>
    </x:xf>
    <x:xf numFmtId="0" fontId="45" fillId="15" borderId="81" xfId="0" applyNumberFormat="1" applyFont="1" applyFill="1" applyBorder="1" applyAlignment="1">
      <x:alignment vertical="center" wrapText="1"/>
    </x:xf>
    <x:xf numFmtId="0" fontId="45" fillId="15" borderId="81" xfId="0" applyNumberFormat="1" applyFont="1" applyFill="1" applyBorder="1" applyAlignment="1">
      <x:alignment horizontal="center" vertical="center"/>
    </x:xf>
    <x:xf numFmtId="0" fontId="45" fillId="15" borderId="82" xfId="0" applyNumberFormat="1" applyFont="1" applyFill="1" applyBorder="1" applyAlignment="1">
      <x:alignment horizontal="center" vertical="center"/>
    </x:xf>
    <x:xf numFmtId="0" fontId="41" fillId="15" borderId="73" xfId="0" applyNumberFormat="1" applyFont="1" applyFill="1" applyBorder="1" applyAlignment="1">
      <x:alignment horizontal="center" vertical="center" wrapText="1"/>
    </x:xf>
    <x:xf numFmtId="0" fontId="41" fillId="15" borderId="5" xfId="0" applyNumberFormat="1" applyFont="1" applyFill="1" applyBorder="1" applyAlignment="1">
      <x:alignment vertical="center" wrapText="1"/>
    </x:xf>
    <x:xf numFmtId="0" fontId="41" fillId="15" borderId="5" xfId="0" applyNumberFormat="1" applyFont="1" applyFill="1" applyBorder="1" applyAlignment="1">
      <x:alignment horizontal="center" vertical="center"/>
    </x:xf>
    <x:xf numFmtId="0" fontId="41" fillId="15" borderId="74" xfId="0" applyNumberFormat="1" applyFont="1" applyFill="1" applyBorder="1" applyAlignment="1">
      <x:alignment horizontal="center" vertical="center"/>
    </x:xf>
    <x:xf numFmtId="0" fontId="45" fillId="15" borderId="73" xfId="0" applyNumberFormat="1" applyFont="1" applyFill="1" applyBorder="1" applyAlignment="1">
      <x:alignment horizontal="center" vertical="center" wrapText="1"/>
    </x:xf>
    <x:xf numFmtId="0" fontId="45" fillId="15" borderId="5" xfId="0" applyNumberFormat="1" applyFont="1" applyFill="1" applyBorder="1" applyAlignment="1">
      <x:alignment vertical="center" wrapText="1"/>
    </x:xf>
    <x:xf numFmtId="0" fontId="45" fillId="15" borderId="5" xfId="0" applyNumberFormat="1" applyFont="1" applyFill="1" applyBorder="1" applyAlignment="1">
      <x:alignment horizontal="center" vertical="center"/>
    </x:xf>
    <x:xf numFmtId="0" fontId="45" fillId="15" borderId="74" xfId="0" applyNumberFormat="1" applyFont="1" applyFill="1" applyBorder="1" applyAlignment="1">
      <x:alignment horizontal="center" vertical="center"/>
    </x:xf>
    <x:xf numFmtId="0" fontId="45" fillId="15" borderId="83" xfId="0" applyNumberFormat="1" applyFont="1" applyFill="1" applyBorder="1" applyAlignment="1">
      <x:alignment horizontal="center" vertical="center" wrapText="1"/>
    </x:xf>
    <x:xf numFmtId="0" fontId="45" fillId="15" borderId="84" xfId="0" applyNumberFormat="1" applyFont="1" applyFill="1" applyBorder="1" applyAlignment="1">
      <x:alignment vertical="center" wrapText="1"/>
    </x:xf>
    <x:xf numFmtId="0" fontId="45" fillId="15" borderId="84" xfId="0" applyNumberFormat="1" applyFont="1" applyFill="1" applyBorder="1" applyAlignment="1">
      <x:alignment horizontal="center" vertical="center"/>
    </x:xf>
    <x:xf numFmtId="0" fontId="45" fillId="15" borderId="85" xfId="0" applyNumberFormat="1" applyFont="1" applyFill="1" applyBorder="1" applyAlignment="1">
      <x:alignment horizontal="center" vertical="center"/>
    </x:xf>
    <x:xf numFmtId="0" fontId="41" fillId="16" borderId="65" xfId="0" applyNumberFormat="1" applyFont="1" applyFill="1" applyBorder="1" applyAlignment="1">
      <x:alignment horizontal="center" vertical="center" wrapText="1"/>
    </x:xf>
    <x:xf numFmtId="0" fontId="41" fillId="16" borderId="0" xfId="0" applyNumberFormat="1" applyFont="1" applyFill="1" applyBorder="1" applyAlignment="1">
      <x:alignment vertical="center" wrapText="1"/>
    </x:xf>
    <x:xf numFmtId="0" fontId="41" fillId="16" borderId="0" xfId="0" applyNumberFormat="1" applyFont="1" applyFill="1" applyBorder="1" applyAlignment="1">
      <x:alignment horizontal="center" vertical="center"/>
    </x:xf>
    <x:xf numFmtId="0" fontId="41" fillId="16" borderId="66" xfId="0" applyNumberFormat="1" applyFont="1" applyFill="1" applyBorder="1" applyAlignment="1">
      <x:alignment horizontal="center" vertical="center"/>
    </x:xf>
    <x:xf numFmtId="0" fontId="37" fillId="16" borderId="65" xfId="0" applyNumberFormat="1" applyFont="1" applyFill="1" applyBorder="1" applyAlignment="1">
      <x:alignment horizontal="center" vertical="center" wrapText="1"/>
    </x:xf>
    <x:xf numFmtId="0" fontId="37" fillId="16" borderId="0" xfId="0" applyNumberFormat="1" applyFont="1" applyFill="1" applyBorder="1" applyAlignment="1">
      <x:alignment vertical="center" wrapText="1"/>
    </x:xf>
    <x:xf numFmtId="0" fontId="37" fillId="16" borderId="0" xfId="0" applyNumberFormat="1" applyFont="1" applyFill="1" applyBorder="1" applyAlignment="1">
      <x:alignment horizontal="center" vertical="center"/>
    </x:xf>
    <x:xf numFmtId="0" fontId="37" fillId="16" borderId="66" xfId="0" applyNumberFormat="1" applyFont="1" applyFill="1" applyBorder="1" applyAlignment="1">
      <x:alignment horizontal="center" vertical="center"/>
    </x:xf>
    <x:xf numFmtId="0" fontId="37" fillId="16" borderId="36" xfId="0" applyNumberFormat="1" applyFont="1" applyFill="1" applyBorder="1" applyAlignment="1">
      <x:alignment horizontal="center" vertical="center" wrapText="1"/>
    </x:xf>
    <x:xf numFmtId="0" fontId="37" fillId="16" borderId="42" xfId="0" applyNumberFormat="1" applyFont="1" applyFill="1" applyBorder="1" applyAlignment="1">
      <x:alignment vertical="center" wrapText="1"/>
    </x:xf>
    <x:xf numFmtId="0" fontId="37" fillId="16" borderId="42" xfId="0" applyNumberFormat="1" applyFont="1" applyFill="1" applyBorder="1" applyAlignment="1">
      <x:alignment horizontal="center" vertical="center"/>
    </x:xf>
    <x:xf numFmtId="0" fontId="37" fillId="16" borderId="43" xfId="0" applyNumberFormat="1" applyFont="1" applyFill="1" applyBorder="1" applyAlignment="1">
      <x:alignment horizontal="center" vertical="center"/>
    </x:xf>
    <x:xf numFmtId="0" fontId="41" fillId="16" borderId="73" xfId="0" applyNumberFormat="1" applyFont="1" applyFill="1" applyBorder="1" applyAlignment="1">
      <x:alignment horizontal="center" vertical="center" wrapText="1"/>
    </x:xf>
    <x:xf numFmtId="0" fontId="41" fillId="16" borderId="5" xfId="0" applyNumberFormat="1" applyFont="1" applyFill="1" applyBorder="1" applyAlignment="1">
      <x:alignment vertical="center" wrapText="1"/>
    </x:xf>
    <x:xf numFmtId="0" fontId="41" fillId="16" borderId="5" xfId="0" applyNumberFormat="1" applyFont="1" applyFill="1" applyBorder="1" applyAlignment="1">
      <x:alignment horizontal="center" vertical="center"/>
    </x:xf>
    <x:xf numFmtId="0" fontId="41" fillId="16" borderId="74" xfId="0" applyNumberFormat="1" applyFont="1" applyFill="1" applyBorder="1" applyAlignment="1">
      <x:alignment horizontal="center" vertical="center"/>
    </x:xf>
    <x:xf numFmtId="0" fontId="37" fillId="16" borderId="73" xfId="0" applyNumberFormat="1" applyFont="1" applyFill="1" applyBorder="1" applyAlignment="1">
      <x:alignment horizontal="center" vertical="center" wrapText="1"/>
    </x:xf>
    <x:xf numFmtId="0" fontId="37" fillId="16" borderId="5" xfId="0" applyNumberFormat="1" applyFont="1" applyFill="1" applyBorder="1" applyAlignment="1">
      <x:alignment vertical="center" wrapText="1"/>
    </x:xf>
    <x:xf numFmtId="0" fontId="37" fillId="16" borderId="5" xfId="0" applyNumberFormat="1" applyFont="1" applyFill="1" applyBorder="1" applyAlignment="1">
      <x:alignment horizontal="center" vertical="center"/>
    </x:xf>
    <x:xf numFmtId="0" fontId="37" fillId="16" borderId="74" xfId="0" applyNumberFormat="1" applyFont="1" applyFill="1" applyBorder="1" applyAlignment="1">
      <x:alignment horizontal="center" vertical="center"/>
    </x:xf>
    <x:xf numFmtId="0" fontId="37" fillId="16" borderId="39" xfId="0" applyNumberFormat="1" applyFont="1" applyFill="1" applyBorder="1" applyAlignment="1">
      <x:alignment horizontal="center" vertical="center" wrapText="1"/>
    </x:xf>
    <x:xf numFmtId="0" fontId="37" fillId="16" borderId="44" xfId="0" applyNumberFormat="1" applyFont="1" applyFill="1" applyBorder="1" applyAlignment="1">
      <x:alignment vertical="center" wrapText="1"/>
    </x:xf>
    <x:xf numFmtId="0" fontId="37" fillId="16" borderId="44" xfId="0" applyNumberFormat="1" applyFont="1" applyFill="1" applyBorder="1" applyAlignment="1">
      <x:alignment horizontal="center" vertical="center"/>
    </x:xf>
    <x:xf numFmtId="0" fontId="37" fillId="16" borderId="45" xfId="0" applyNumberFormat="1" applyFont="1" applyFill="1" applyBorder="1" applyAlignment="1">
      <x:alignment horizontal="center" vertical="center"/>
    </x:xf>
    <x:xf numFmtId="200" fontId="47" fillId="11" borderId="51" xfId="0" applyNumberFormat="1" applyFont="1" applyFill="1" applyBorder="1" applyAlignment="1">
      <x:alignment horizontal="center" vertical="center"/>
    </x:xf>
    <x:xf numFmtId="200" fontId="45" fillId="15" borderId="81" xfId="0" applyNumberFormat="1" applyFont="1" applyFill="1" applyBorder="1" applyAlignment="1">
      <x:alignment horizontal="center" vertical="center"/>
    </x:xf>
    <x:xf numFmtId="200" fontId="40" fillId="10" borderId="0" xfId="0" applyNumberFormat="1" applyFont="1" applyFill="1" applyBorder="1" applyAlignment="1">
      <x:alignment horizontal="center" vertical="center" wrapText="1"/>
    </x:xf>
    <x:xf numFmtId="200" fontId="40" fillId="17" borderId="0" xfId="0" applyNumberFormat="1" applyFont="1" applyFill="1" applyBorder="1" applyAlignment="1">
      <x:alignment horizontal="center" vertical="center" wrapText="1"/>
    </x:xf>
    <x:xf numFmtId="200" fontId="37" fillId="16" borderId="42" xfId="0" applyNumberFormat="1" applyFont="1" applyFill="1" applyBorder="1" applyAlignment="1">
      <x:alignment horizontal="center" vertical="center"/>
    </x:xf>
    <x:xf numFmtId="200" fontId="40" fillId="10" borderId="68" xfId="0" applyNumberFormat="1" applyFont="1" applyFill="1" applyBorder="1" applyAlignment="1">
      <x:alignment horizontal="center" vertical="center" wrapText="1"/>
    </x:xf>
    <x:xf numFmtId="200" fontId="47" fillId="11" borderId="54" xfId="0" applyNumberFormat="1" applyFont="1" applyFill="1" applyBorder="1" applyAlignment="1">
      <x:alignment horizontal="center" vertical="center"/>
    </x:xf>
    <x:xf numFmtId="200" fontId="45" fillId="15" borderId="84" xfId="0" applyNumberFormat="1" applyFont="1" applyFill="1" applyBorder="1" applyAlignment="1">
      <x:alignment horizontal="center" vertical="center"/>
    </x:xf>
    <x:xf numFmtId="200" fontId="40" fillId="10" borderId="5" xfId="0" applyNumberFormat="1" applyFont="1" applyFill="1" applyBorder="1" applyAlignment="1">
      <x:alignment horizontal="center" vertical="center" wrapText="1"/>
    </x:xf>
    <x:xf numFmtId="200" fontId="40" fillId="17" borderId="5" xfId="0" applyNumberFormat="1" applyFont="1" applyFill="1" applyBorder="1" applyAlignment="1">
      <x:alignment horizontal="center" vertical="center" wrapText="1"/>
    </x:xf>
    <x:xf numFmtId="200" fontId="37" fillId="16" borderId="44" xfId="0" applyNumberFormat="1" applyFont="1" applyFill="1" applyBorder="1" applyAlignment="1">
      <x:alignment horizontal="center" vertical="center"/>
    </x:xf>
    <x:xf numFmtId="200" fontId="40" fillId="10" borderId="76" xfId="0" applyNumberFormat="1" applyFont="1" applyFill="1" applyBorder="1" applyAlignment="1">
      <x:alignment horizontal="center" vertical="center" wrapText="1"/>
    </x:xf>
    <x:xf numFmtId="201" fontId="47" fillId="11" borderId="51" xfId="0" applyNumberFormat="1" applyFont="1" applyFill="1" applyBorder="1" applyAlignment="1">
      <x:alignment horizontal="center" vertical="center"/>
    </x:xf>
    <x:xf numFmtId="201" fontId="45" fillId="15" borderId="81" xfId="0" applyNumberFormat="1" applyFont="1" applyFill="1" applyBorder="1" applyAlignment="1">
      <x:alignment horizontal="center" vertical="center"/>
    </x:xf>
    <x:xf numFmtId="201" fontId="40" fillId="10" borderId="0" xfId="0" applyNumberFormat="1" applyFont="1" applyFill="1" applyBorder="1" applyAlignment="1">
      <x:alignment horizontal="center" vertical="center" wrapText="1"/>
    </x:xf>
    <x:xf numFmtId="201" fontId="40" fillId="17" borderId="0" xfId="0" applyNumberFormat="1" applyFont="1" applyFill="1" applyBorder="1" applyAlignment="1">
      <x:alignment horizontal="center" vertical="center" wrapText="1"/>
    </x:xf>
    <x:xf numFmtId="201" fontId="37" fillId="16" borderId="42" xfId="0" applyNumberFormat="1" applyFont="1" applyFill="1" applyBorder="1" applyAlignment="1">
      <x:alignment horizontal="center" vertical="center"/>
    </x:xf>
    <x:xf numFmtId="201" fontId="40" fillId="10" borderId="68" xfId="0" applyNumberFormat="1" applyFont="1" applyFill="1" applyBorder="1" applyAlignment="1">
      <x:alignment horizontal="center" vertical="center" wrapText="1"/>
    </x:xf>
    <x:xf numFmtId="201" fontId="47" fillId="11" borderId="54" xfId="0" applyNumberFormat="1" applyFont="1" applyFill="1" applyBorder="1" applyAlignment="1">
      <x:alignment horizontal="center" vertical="center"/>
    </x:xf>
    <x:xf numFmtId="201" fontId="45" fillId="15" borderId="84" xfId="0" applyNumberFormat="1" applyFont="1" applyFill="1" applyBorder="1" applyAlignment="1">
      <x:alignment horizontal="center" vertical="center"/>
    </x:xf>
    <x:xf numFmtId="201" fontId="40" fillId="10" borderId="5" xfId="0" applyNumberFormat="1" applyFont="1" applyFill="1" applyBorder="1" applyAlignment="1">
      <x:alignment horizontal="center" vertical="center" wrapText="1"/>
    </x:xf>
    <x:xf numFmtId="201" fontId="40" fillId="17" borderId="5" xfId="0" applyNumberFormat="1" applyFont="1" applyFill="1" applyBorder="1" applyAlignment="1">
      <x:alignment horizontal="center" vertical="center" wrapText="1"/>
    </x:xf>
    <x:xf numFmtId="201" fontId="37" fillId="16" borderId="44" xfId="0" applyNumberFormat="1" applyFont="1" applyFill="1" applyBorder="1" applyAlignment="1">
      <x:alignment horizontal="center" vertical="center"/>
    </x:xf>
    <x:xf numFmtId="201" fontId="40" fillId="10" borderId="76" xfId="0" applyNumberFormat="1" applyFont="1" applyFill="1" applyBorder="1" applyAlignment="1">
      <x:alignment horizontal="center" vertical="center" wrapText="1"/>
    </x:xf>
    <x:xf numFmtId="200" fontId="46" fillId="10" borderId="0" xfId="0" applyNumberFormat="1" applyFont="1" applyFill="1" applyBorder="1" applyAlignment="1">
      <x:alignment horizontal="center" vertical="center" wrapText="1"/>
    </x:xf>
    <x:xf numFmtId="200" fontId="37" fillId="15" borderId="78" xfId="0" applyNumberFormat="1" applyFont="1" applyFill="1" applyBorder="1" applyAlignment="1">
      <x:alignment horizontal="center" vertical="center" wrapText="1"/>
    </x:xf>
    <x:xf numFmtId="200" fontId="46" fillId="17" borderId="0" xfId="0" applyNumberFormat="1" applyFont="1" applyFill="1" applyBorder="1" applyAlignment="1">
      <x:alignment horizontal="center" vertical="center" wrapText="1"/>
    </x:xf>
    <x:xf numFmtId="200" fontId="46" fillId="10" borderId="68" xfId="0" applyNumberFormat="1" applyFont="1" applyFill="1" applyBorder="1" applyAlignment="1">
      <x:alignment horizontal="center" vertical="center" wrapText="1"/>
    </x:xf>
    <x:xf numFmtId="200" fontId="46" fillId="10" borderId="5" xfId="0" applyNumberFormat="1" applyFont="1" applyFill="1" applyBorder="1" applyAlignment="1">
      <x:alignment horizontal="center" vertical="center" wrapText="1"/>
    </x:xf>
    <x:xf numFmtId="200" fontId="37" fillId="15" borderId="79" xfId="0" applyNumberFormat="1" applyFont="1" applyFill="1" applyBorder="1" applyAlignment="1">
      <x:alignment horizontal="center" vertical="center" wrapText="1"/>
    </x:xf>
    <x:xf numFmtId="200" fontId="46" fillId="17" borderId="5" xfId="0" applyNumberFormat="1" applyFont="1" applyFill="1" applyBorder="1" applyAlignment="1">
      <x:alignment horizontal="center" vertical="center" wrapText="1"/>
    </x:xf>
    <x:xf numFmtId="200" fontId="46" fillId="10" borderId="76" xfId="0" applyNumberFormat="1" applyFont="1" applyFill="1" applyBorder="1" applyAlignment="1">
      <x:alignment horizontal="center" vertical="center" wrapText="1"/>
    </x:xf>
    <x:xf numFmtId="201" fontId="40" fillId="16" borderId="0" xfId="0" applyNumberFormat="1" applyFont="1" applyFill="1" applyBorder="1" applyAlignment="1">
      <x:alignment horizontal="center" vertical="center" wrapText="1"/>
    </x:xf>
    <x:xf numFmtId="201" fontId="40" fillId="16" borderId="68" xfId="0" applyNumberFormat="1" applyFont="1" applyFill="1" applyBorder="1" applyAlignment="1">
      <x:alignment horizontal="center" vertical="center" wrapText="1"/>
    </x:xf>
    <x:xf numFmtId="201" fontId="40" fillId="16" borderId="5" xfId="0" applyNumberFormat="1" applyFont="1" applyFill="1" applyBorder="1" applyAlignment="1">
      <x:alignment horizontal="center" vertical="center" wrapText="1"/>
    </x:xf>
    <x:xf numFmtId="201" fontId="40" fillId="16" borderId="76" xfId="0" applyNumberFormat="1" applyFont="1" applyFill="1" applyBorder="1" applyAlignment="1">
      <x:alignment horizontal="center" vertical="center" wrapText="1"/>
    </x:xf>
    <x:xf numFmtId="202" fontId="47" fillId="11" borderId="52" xfId="0" applyNumberFormat="1" applyFont="1" applyFill="1" applyBorder="1" applyAlignment="1">
      <x:alignment horizontal="center" vertical="center"/>
    </x:xf>
    <x:xf numFmtId="202" fontId="45" fillId="15" borderId="82" xfId="0" applyNumberFormat="1" applyFont="1" applyFill="1" applyBorder="1" applyAlignment="1">
      <x:alignment horizontal="center" vertical="center"/>
    </x:xf>
    <x:xf numFmtId="202" fontId="40" fillId="10" borderId="66" xfId="0" applyNumberFormat="1" applyFont="1" applyFill="1" applyBorder="1" applyAlignment="1">
      <x:alignment horizontal="center" vertical="center" wrapText="1"/>
    </x:xf>
    <x:xf numFmtId="202" fontId="40" fillId="17" borderId="66" xfId="0" applyNumberFormat="1" applyFont="1" applyFill="1" applyBorder="1" applyAlignment="1">
      <x:alignment horizontal="center" vertical="center" wrapText="1"/>
    </x:xf>
    <x:xf numFmtId="202" fontId="37" fillId="16" borderId="43" xfId="0" applyNumberFormat="1" applyFont="1" applyFill="1" applyBorder="1" applyAlignment="1">
      <x:alignment horizontal="center" vertical="center"/>
    </x:xf>
    <x:xf numFmtId="202" fontId="40" fillId="10" borderId="69" xfId="0" applyNumberFormat="1" applyFont="1" applyFill="1" applyBorder="1" applyAlignment="1">
      <x:alignment horizontal="center" vertical="center" wrapText="1"/>
    </x:xf>
    <x:xf numFmtId="202" fontId="47" fillId="11" borderId="55" xfId="0" applyNumberFormat="1" applyFont="1" applyFill="1" applyBorder="1" applyAlignment="1">
      <x:alignment horizontal="center" vertical="center"/>
    </x:xf>
    <x:xf numFmtId="202" fontId="45" fillId="15" borderId="85" xfId="0" applyNumberFormat="1" applyFont="1" applyFill="1" applyBorder="1" applyAlignment="1">
      <x:alignment horizontal="center" vertical="center"/>
    </x:xf>
    <x:xf numFmtId="202" fontId="40" fillId="10" borderId="74" xfId="0" applyNumberFormat="1" applyFont="1" applyFill="1" applyBorder="1" applyAlignment="1">
      <x:alignment horizontal="center" vertical="center" wrapText="1"/>
    </x:xf>
    <x:xf numFmtId="202" fontId="40" fillId="17" borderId="74" xfId="0" applyNumberFormat="1" applyFont="1" applyFill="1" applyBorder="1" applyAlignment="1">
      <x:alignment horizontal="center" vertical="center" wrapText="1"/>
    </x:xf>
    <x:xf numFmtId="202" fontId="37" fillId="16" borderId="45" xfId="0" applyNumberFormat="1" applyFont="1" applyFill="1" applyBorder="1" applyAlignment="1">
      <x:alignment horizontal="center" vertical="center"/>
    </x:xf>
    <x:xf numFmtId="202" fontId="40" fillId="10" borderId="77" xfId="0" applyNumberFormat="1" applyFont="1" applyFill="1" applyBorder="1" applyAlignment="1">
      <x:alignment horizontal="center" vertical="center" wrapText="1"/>
    </x:xf>
    <x:xf numFmtId="164" fontId="41" fillId="11" borderId="0" xfId="0" applyNumberFormat="1" applyFont="1" applyFill="1" applyBorder="1" applyAlignment="1">
      <x:alignment horizontal="right" vertical="center"/>
    </x:xf>
    <x:xf numFmtId="10" fontId="41" fillId="11" borderId="0" xfId="0" applyNumberFormat="1" applyFont="1" applyFill="1" applyBorder="1" applyAlignment="1">
      <x:alignment horizontal="right" vertical="center"/>
    </x:xf>
    <x:xf numFmtId="0" fontId="44" fillId="11" borderId="0" xfId="0" applyNumberFormat="1" applyFont="1" applyFill="1" applyBorder="1" applyAlignment="1">
      <x:alignment horizontal="right" vertical="center"/>
    </x:xf>
    <x:xf numFmtId="164" fontId="44" fillId="11" borderId="0" xfId="0" applyNumberFormat="1" applyFont="1" applyFill="1" applyBorder="1" applyAlignment="1">
      <x:alignment horizontal="right" vertical="center"/>
    </x:xf>
    <x:xf numFmtId="10" fontId="44" fillId="11" borderId="0" xfId="0" applyNumberFormat="1" applyFont="1" applyFill="1" applyBorder="1" applyAlignment="1">
      <x:alignment horizontal="right" vertical="center"/>
    </x:xf>
    <x:xf numFmtId="0" fontId="44" fillId="11" borderId="50" xfId="0" applyNumberFormat="1" applyFont="1" applyFill="1" applyBorder="1" applyAlignment="1">
      <x:alignment horizontal="right" vertical="center"/>
    </x:xf>
    <x:xf numFmtId="0" fontId="44" fillId="11" borderId="51" xfId="0" applyNumberFormat="1" applyFont="1" applyFill="1" applyBorder="1" applyAlignment="1">
      <x:alignment horizontal="right" vertical="center"/>
    </x:xf>
    <x:xf numFmtId="164" fontId="44" fillId="11" borderId="51" xfId="0" applyNumberFormat="1" applyFont="1" applyFill="1" applyBorder="1" applyAlignment="1">
      <x:alignment horizontal="right" vertical="center"/>
    </x:xf>
    <x:xf numFmtId="10" fontId="44" fillId="11" borderId="52" xfId="0" applyNumberFormat="1" applyFont="1" applyFill="1" applyBorder="1" applyAlignment="1">
      <x:alignment horizontal="right" vertical="center"/>
    </x:xf>
    <x:xf numFmtId="164" fontId="41" fillId="11" borderId="5" xfId="0" applyNumberFormat="1" applyFont="1" applyFill="1" applyBorder="1" applyAlignment="1">
      <x:alignment horizontal="right" vertical="center"/>
    </x:xf>
    <x:xf numFmtId="10" fontId="41" fillId="11" borderId="5" xfId="0" applyNumberFormat="1" applyFont="1" applyFill="1" applyBorder="1" applyAlignment="1">
      <x:alignment horizontal="right" vertical="center"/>
    </x:xf>
    <x:xf numFmtId="0" fontId="44" fillId="11" borderId="5" xfId="0" applyNumberFormat="1" applyFont="1" applyFill="1" applyBorder="1" applyAlignment="1">
      <x:alignment horizontal="right" vertical="center"/>
    </x:xf>
    <x:xf numFmtId="164" fontId="44" fillId="11" borderId="5" xfId="0" applyNumberFormat="1" applyFont="1" applyFill="1" applyBorder="1" applyAlignment="1">
      <x:alignment horizontal="right" vertical="center"/>
    </x:xf>
    <x:xf numFmtId="10" fontId="44" fillId="11" borderId="5" xfId="0" applyNumberFormat="1" applyFont="1" applyFill="1" applyBorder="1" applyAlignment="1">
      <x:alignment horizontal="right" vertical="center"/>
    </x:xf>
    <x:xf numFmtId="0" fontId="44" fillId="11" borderId="53" xfId="0" applyNumberFormat="1" applyFont="1" applyFill="1" applyBorder="1" applyAlignment="1">
      <x:alignment horizontal="right" vertical="center"/>
    </x:xf>
    <x:xf numFmtId="0" fontId="44" fillId="11" borderId="54" xfId="0" applyNumberFormat="1" applyFont="1" applyFill="1" applyBorder="1" applyAlignment="1">
      <x:alignment horizontal="right" vertical="center"/>
    </x:xf>
    <x:xf numFmtId="164" fontId="44" fillId="11" borderId="54" xfId="0" applyNumberFormat="1" applyFont="1" applyFill="1" applyBorder="1" applyAlignment="1">
      <x:alignment horizontal="right" vertical="center"/>
    </x:xf>
    <x:xf numFmtId="10" fontId="44" fillId="11" borderId="55" xfId="0" applyNumberFormat="1" applyFont="1" applyFill="1" applyBorder="1" applyAlignment="1">
      <x:alignment horizontal="right" vertical="center"/>
    </x:xf>
    <x:xf numFmtId="201" fontId="44" fillId="11" borderId="51" xfId="0" applyNumberFormat="1" applyFont="1" applyFill="1" applyBorder="1" applyAlignment="1">
      <x:alignment horizontal="right" vertical="center"/>
    </x:xf>
    <x:xf numFmtId="201" fontId="44" fillId="11" borderId="54" xfId="0" applyNumberFormat="1" applyFont="1" applyFill="1" applyBorder="1" applyAlignment="1">
      <x:alignment horizontal="right" vertical="center"/>
    </x:xf>
    <x:xf numFmtId="202" fontId="44" fillId="11" borderId="52" xfId="0" applyNumberFormat="1" applyFont="1" applyFill="1" applyBorder="1" applyAlignment="1">
      <x:alignment horizontal="right" vertical="center"/>
    </x:xf>
    <x:xf numFmtId="202" fontId="44" fillId="11" borderId="55" xfId="0" applyNumberFormat="1" applyFont="1" applyFill="1" applyBorder="1" applyAlignment="1">
      <x:alignment horizontal="right" vertical="center"/>
    </x:xf>
    <x:xf numFmtId="0" fontId="48" fillId="14" borderId="0" xfId="0" applyNumberFormat="1" applyFont="1" applyFill="1" applyBorder="1" applyAlignment="1">
      <x:alignment horizontal="left" vertical="center"/>
    </x:xf>
    <x:xf numFmtId="0" fontId="48" fillId="14" borderId="5" xfId="0" applyNumberFormat="1" applyFont="1" applyFill="1" applyBorder="1" applyAlignment="1">
      <x:alignment horizontal="left" vertical="center"/>
    </x:xf>
    <x:xf numFmtId="0" fontId="41" fillId="13" borderId="0" xfId="0" applyNumberFormat="1" applyFont="1" applyFill="1" applyBorder="1" applyAlignment="1">
      <x:alignment horizontal="left" vertical="center"/>
    </x:xf>
    <x:xf numFmtId="0" fontId="37" fillId="13" borderId="0" xfId="0" applyNumberFormat="1" applyFont="1" applyFill="1" applyBorder="1" applyAlignment="1">
      <x:alignment horizontal="left" vertical="center"/>
    </x:xf>
    <x:xf numFmtId="0" fontId="37" fillId="13" borderId="36" xfId="0" applyNumberFormat="1" applyFont="1" applyFill="1" applyBorder="1" applyAlignment="1">
      <x:alignment horizontal="left" vertical="center"/>
    </x:xf>
    <x:xf numFmtId="0" fontId="37" fillId="13" borderId="42" xfId="0" applyNumberFormat="1" applyFont="1" applyFill="1" applyBorder="1" applyAlignment="1">
      <x:alignment horizontal="left" vertical="center"/>
    </x:xf>
    <x:xf numFmtId="0" fontId="37" fillId="13" borderId="43" xfId="0" applyNumberFormat="1" applyFont="1" applyFill="1" applyBorder="1" applyAlignment="1">
      <x:alignment horizontal="left" vertical="center"/>
    </x:xf>
    <x:xf numFmtId="0" fontId="37" fillId="13" borderId="36" xfId="0" applyNumberFormat="1" applyFont="1" applyFill="1" applyBorder="1" applyAlignment="1">
      <x:alignment horizontal="center" vertical="center"/>
    </x:xf>
    <x:xf numFmtId="0" fontId="37" fillId="13" borderId="42" xfId="0" applyNumberFormat="1" applyFont="1" applyFill="1" applyBorder="1" applyAlignment="1">
      <x:alignment horizontal="center" vertical="center"/>
    </x:xf>
    <x:xf numFmtId="0" fontId="37" fillId="13" borderId="43" xfId="0" applyNumberFormat="1" applyFont="1" applyFill="1" applyBorder="1" applyAlignment="1">
      <x:alignment horizontal="center" vertical="center"/>
    </x:xf>
    <x:xf numFmtId="0" fontId="41" fillId="13" borderId="5" xfId="0" applyNumberFormat="1" applyFont="1" applyFill="1" applyBorder="1" applyAlignment="1">
      <x:alignment horizontal="left" vertical="center"/>
    </x:xf>
    <x:xf numFmtId="0" fontId="37" fillId="13" borderId="5" xfId="0" applyNumberFormat="1" applyFont="1" applyFill="1" applyBorder="1" applyAlignment="1">
      <x:alignment horizontal="left" vertical="center"/>
    </x:xf>
    <x:xf numFmtId="0" fontId="37" fillId="13" borderId="39" xfId="0" applyNumberFormat="1" applyFont="1" applyFill="1" applyBorder="1" applyAlignment="1">
      <x:alignment horizontal="left" vertical="center"/>
    </x:xf>
    <x:xf numFmtId="0" fontId="37" fillId="13" borderId="44" xfId="0" applyNumberFormat="1" applyFont="1" applyFill="1" applyBorder="1" applyAlignment="1">
      <x:alignment horizontal="left" vertical="center"/>
    </x:xf>
    <x:xf numFmtId="0" fontId="37" fillId="13" borderId="45" xfId="0" applyNumberFormat="1" applyFont="1" applyFill="1" applyBorder="1" applyAlignment="1">
      <x:alignment horizontal="left" vertical="center"/>
    </x:xf>
    <x:xf numFmtId="0" fontId="37" fillId="13" borderId="39" xfId="0" applyNumberFormat="1" applyFont="1" applyFill="1" applyBorder="1" applyAlignment="1">
      <x:alignment horizontal="center" vertical="center"/>
    </x:xf>
    <x:xf numFmtId="0" fontId="37" fillId="13" borderId="44" xfId="0" applyNumberFormat="1" applyFont="1" applyFill="1" applyBorder="1" applyAlignment="1">
      <x:alignment horizontal="center" vertical="center"/>
    </x:xf>
    <x:xf numFmtId="0" fontId="37" fillId="13" borderId="45" xfId="0" applyNumberFormat="1" applyFont="1" applyFill="1" applyBorder="1" applyAlignment="1">
      <x:alignment horizontal="center" vertical="center"/>
    </x:xf>
    <x:xf numFmtId="164" fontId="41" fillId="10" borderId="3" xfId="0" applyNumberFormat="1" applyFont="1" applyFill="1" applyBorder="1" applyAlignment="1">
      <x:alignment horizontal="left" vertical="center"/>
    </x:xf>
    <x:xf numFmtId="10" fontId="41" fillId="10" borderId="3" xfId="0" applyNumberFormat="1" applyFont="1" applyFill="1" applyBorder="1" applyAlignment="1">
      <x:alignment horizontal="left" vertical="center"/>
    </x:xf>
    <x:xf numFmtId="164" fontId="49" fillId="10" borderId="3" xfId="0" applyNumberFormat="1" applyFont="1" applyFill="1" applyBorder="1" applyAlignment="1">
      <x:alignment horizontal="left" vertical="center"/>
    </x:xf>
    <x:xf numFmtId="10" fontId="49" fillId="10" borderId="3" xfId="0" applyNumberFormat="1" applyFont="1" applyFill="1" applyBorder="1" applyAlignment="1">
      <x:alignment horizontal="left" vertical="center"/>
    </x:xf>
    <x:xf numFmtId="164" fontId="49" fillId="10" borderId="86" xfId="0" applyNumberFormat="1" applyFont="1" applyFill="1" applyBorder="1" applyAlignment="1">
      <x:alignment horizontal="left" vertical="center"/>
    </x:xf>
    <x:xf numFmtId="164" fontId="49" fillId="10" borderId="87" xfId="0" applyNumberFormat="1" applyFont="1" applyFill="1" applyBorder="1" applyAlignment="1">
      <x:alignment horizontal="left" vertical="center"/>
    </x:xf>
    <x:xf numFmtId="10" fontId="49" fillId="10" borderId="87" xfId="0" applyNumberFormat="1" applyFont="1" applyFill="1" applyBorder="1" applyAlignment="1">
      <x:alignment horizontal="left" vertical="center"/>
    </x:xf>
    <x:xf numFmtId="164" fontId="49" fillId="10" borderId="88" xfId="0" applyNumberFormat="1" applyFont="1" applyFill="1" applyBorder="1" applyAlignment="1">
      <x:alignment horizontal="left" vertical="center"/>
    </x:xf>
    <x:xf numFmtId="164" fontId="49" fillId="10" borderId="86" xfId="0" applyNumberFormat="1" applyFont="1" applyFill="1" applyBorder="1" applyAlignment="1">
      <x:alignment horizontal="center" vertical="center"/>
    </x:xf>
    <x:xf numFmtId="164" fontId="49" fillId="10" borderId="87" xfId="0" applyNumberFormat="1" applyFont="1" applyFill="1" applyBorder="1" applyAlignment="1">
      <x:alignment horizontal="center" vertical="center"/>
    </x:xf>
    <x:xf numFmtId="10" fontId="49" fillId="10" borderId="87" xfId="0" applyNumberFormat="1" applyFont="1" applyFill="1" applyBorder="1" applyAlignment="1">
      <x:alignment horizontal="center" vertical="center"/>
    </x:xf>
    <x:xf numFmtId="164" fontId="49" fillId="10" borderId="88" xfId="0" applyNumberFormat="1" applyFont="1" applyFill="1" applyBorder="1" applyAlignment="1">
      <x:alignment horizontal="center" vertical="center"/>
    </x:xf>
    <x:xf numFmtId="164" fontId="41" fillId="10" borderId="8" xfId="0" applyNumberFormat="1" applyFont="1" applyFill="1" applyBorder="1" applyAlignment="1">
      <x:alignment horizontal="left" vertical="center"/>
    </x:xf>
    <x:xf numFmtId="10" fontId="41" fillId="10" borderId="8" xfId="0" applyNumberFormat="1" applyFont="1" applyFill="1" applyBorder="1" applyAlignment="1">
      <x:alignment horizontal="left" vertical="center"/>
    </x:xf>
    <x:xf numFmtId="164" fontId="49" fillId="10" borderId="8" xfId="0" applyNumberFormat="1" applyFont="1" applyFill="1" applyBorder="1" applyAlignment="1">
      <x:alignment horizontal="left" vertical="center"/>
    </x:xf>
    <x:xf numFmtId="10" fontId="49" fillId="10" borderId="8" xfId="0" applyNumberFormat="1" applyFont="1" applyFill="1" applyBorder="1" applyAlignment="1">
      <x:alignment horizontal="left" vertical="center"/>
    </x:xf>
    <x:xf numFmtId="164" fontId="49" fillId="10" borderId="89" xfId="0" applyNumberFormat="1" applyFont="1" applyFill="1" applyBorder="1" applyAlignment="1">
      <x:alignment horizontal="left" vertical="center"/>
    </x:xf>
    <x:xf numFmtId="164" fontId="49" fillId="10" borderId="90" xfId="0" applyNumberFormat="1" applyFont="1" applyFill="1" applyBorder="1" applyAlignment="1">
      <x:alignment horizontal="left" vertical="center"/>
    </x:xf>
    <x:xf numFmtId="10" fontId="49" fillId="10" borderId="90" xfId="0" applyNumberFormat="1" applyFont="1" applyFill="1" applyBorder="1" applyAlignment="1">
      <x:alignment horizontal="left" vertical="center"/>
    </x:xf>
    <x:xf numFmtId="164" fontId="49" fillId="10" borderId="91" xfId="0" applyNumberFormat="1" applyFont="1" applyFill="1" applyBorder="1" applyAlignment="1">
      <x:alignment horizontal="left" vertical="center"/>
    </x:xf>
    <x:xf numFmtId="164" fontId="49" fillId="10" borderId="89" xfId="0" applyNumberFormat="1" applyFont="1" applyFill="1" applyBorder="1" applyAlignment="1">
      <x:alignment horizontal="center" vertical="center"/>
    </x:xf>
    <x:xf numFmtId="164" fontId="49" fillId="10" borderId="90" xfId="0" applyNumberFormat="1" applyFont="1" applyFill="1" applyBorder="1" applyAlignment="1">
      <x:alignment horizontal="center" vertical="center"/>
    </x:xf>
    <x:xf numFmtId="10" fontId="49" fillId="10" borderId="90" xfId="0" applyNumberFormat="1" applyFont="1" applyFill="1" applyBorder="1" applyAlignment="1">
      <x:alignment horizontal="center" vertical="center"/>
    </x:xf>
    <x:xf numFmtId="164" fontId="49" fillId="10" borderId="91" xfId="0" applyNumberFormat="1" applyFont="1" applyFill="1" applyBorder="1" applyAlignment="1">
      <x:alignment horizontal="center" vertical="center"/>
    </x:xf>
    <x:xf numFmtId="201" fontId="49" fillId="10" borderId="86" xfId="0" applyNumberFormat="1" applyFont="1" applyFill="1" applyBorder="1" applyAlignment="1">
      <x:alignment horizontal="center" vertical="center"/>
    </x:xf>
    <x:xf numFmtId="201" fontId="49" fillId="10" borderId="89" xfId="0" applyNumberFormat="1" applyFont="1" applyFill="1" applyBorder="1" applyAlignment="1">
      <x:alignment horizontal="center" vertical="center"/>
    </x:xf>
    <x:xf numFmtId="201" fontId="49" fillId="10" borderId="87" xfId="0" applyNumberFormat="1" applyFont="1" applyFill="1" applyBorder="1" applyAlignment="1">
      <x:alignment horizontal="center" vertical="center"/>
    </x:xf>
    <x:xf numFmtId="201" fontId="49" fillId="10" borderId="90" xfId="0" applyNumberFormat="1" applyFont="1" applyFill="1" applyBorder="1" applyAlignment="1">
      <x:alignment horizontal="center" vertical="center"/>
    </x:xf>
    <x:xf numFmtId="202" fontId="49" fillId="10" borderId="87" xfId="0" applyNumberFormat="1" applyFont="1" applyFill="1" applyBorder="1" applyAlignment="1">
      <x:alignment horizontal="center" vertical="center"/>
    </x:xf>
    <x:xf numFmtId="202" fontId="49" fillId="10" borderId="90" xfId="0" applyNumberFormat="1" applyFont="1" applyFill="1" applyBorder="1" applyAlignment="1">
      <x:alignment horizontal="center" vertical="center"/>
    </x:xf>
    <x:xf numFmtId="0" fontId="42" fillId="15" borderId="0" xfId="0" applyNumberFormat="1" applyFont="1" applyFill="1" applyBorder="1" applyAlignment="1">
      <x:alignment horizontal="left" vertical="center" wrapText="1"/>
    </x:xf>
    <x:xf numFmtId="0" fontId="50" fillId="15" borderId="0" xfId="0" applyNumberFormat="1" applyFont="1" applyFill="1" applyBorder="1" applyAlignment="1">
      <x:alignment horizontal="left" vertical="center" wrapText="1"/>
    </x:xf>
    <x:xf numFmtId="0" fontId="42" fillId="15" borderId="5" xfId="0" applyNumberFormat="1" applyFont="1" applyFill="1" applyBorder="1" applyAlignment="1">
      <x:alignment horizontal="left" vertical="center" wrapText="1"/>
    </x:xf>
    <x:xf numFmtId="0" fontId="50" fillId="15" borderId="5" xfId="0" applyNumberFormat="1" applyFont="1" applyFill="1" applyBorder="1" applyAlignment="1">
      <x:alignment horizontal="left" vertical="center" wrapText="1"/>
    </x:xf>
    <x:xf numFmtId="0" fontId="41" fillId="13" borderId="0" xfId="0" applyNumberFormat="1" applyFont="1" applyFill="1" applyBorder="1" applyAlignment="1">
      <x:alignment horizontal="center" vertical="center"/>
    </x:xf>
    <x:xf numFmtId="0" fontId="40" fillId="13" borderId="0" xfId="0" applyNumberFormat="1" applyFont="1" applyFill="1" applyBorder="1" applyAlignment="1">
      <x:alignment vertical="center"/>
    </x:xf>
    <x:xf numFmtId="0" fontId="37" fillId="13" borderId="0" xfId="0" applyNumberFormat="1" applyFont="1" applyFill="1" applyBorder="1" applyAlignment="1">
      <x:alignment horizontal="center" vertical="center"/>
    </x:xf>
    <x:xf numFmtId="0" fontId="37" fillId="13" borderId="0" xfId="0" applyNumberFormat="1" applyFont="1" applyFill="1" applyBorder="1" applyAlignment="1">
      <x:alignment vertical="center"/>
    </x:xf>
    <x:xf numFmtId="0" fontId="41" fillId="13" borderId="5" xfId="0" applyNumberFormat="1" applyFont="1" applyFill="1" applyBorder="1" applyAlignment="1">
      <x:alignment horizontal="center" vertical="center"/>
    </x:xf>
    <x:xf numFmtId="0" fontId="40" fillId="13" borderId="5" xfId="0" applyNumberFormat="1" applyFont="1" applyFill="1" applyBorder="1" applyAlignment="1">
      <x:alignment vertical="center"/>
    </x:xf>
    <x:xf numFmtId="0" fontId="37" fillId="13" borderId="5" xfId="0" applyNumberFormat="1" applyFont="1" applyFill="1" applyBorder="1" applyAlignment="1">
      <x:alignment horizontal="center" vertical="center"/>
    </x:xf>
    <x:xf numFmtId="0" fontId="37" fillId="13" borderId="5" xfId="0" applyNumberFormat="1" applyFont="1" applyFill="1" applyBorder="1" applyAlignment="1">
      <x:alignment vertical="center"/>
    </x:xf>
    <x:xf numFmtId="0" fontId="51" fillId="0" borderId="0" xfId="0" applyNumberFormat="1" applyFont="1" applyFill="1" applyBorder="1" applyAlignment="1">
      <x:alignment horizontal="center" vertical="center"/>
    </x:xf>
    <x:xf numFmtId="0" fontId="51" fillId="0" borderId="0" xfId="0" applyNumberFormat="1" applyFont="1" applyFill="1" applyBorder="1" applyAlignment="1">
      <x:alignment vertical="center"/>
    </x:xf>
    <x:xf numFmtId="0" fontId="51" fillId="0" borderId="5" xfId="0" applyNumberFormat="1" applyFont="1" applyFill="1" applyBorder="1" applyAlignment="1">
      <x:alignment horizontal="center" vertical="center"/>
    </x:xf>
    <x:xf numFmtId="0" fontId="51" fillId="0" borderId="5" xfId="0" applyNumberFormat="1" applyFont="1" applyFill="1" applyBorder="1" applyAlignment="1">
      <x:alignment vertical="center"/>
    </x:xf>
    <x:xf numFmtId="0" fontId="41" fillId="2" borderId="0" xfId="0" applyNumberFormat="1" applyFont="1" applyFill="1" applyBorder="1" applyAlignment="1">
      <x:alignment horizontal="left" vertical="center"/>
    </x:xf>
    <x:xf numFmtId="0" fontId="41" fillId="6" borderId="0" xfId="0" applyNumberFormat="1" applyFont="1" applyFill="1" applyBorder="1" applyAlignment="1">
      <x:alignment horizontal="center" vertical="center" wrapText="1"/>
    </x:xf>
    <x:xf numFmtId="0" fontId="41" fillId="2" borderId="5" xfId="0" applyNumberFormat="1" applyFont="1" applyFill="1" applyBorder="1" applyAlignment="1">
      <x:alignment horizontal="left" vertical="center"/>
    </x:xf>
    <x:xf numFmtId="0" fontId="41" fillId="6" borderId="5" xfId="0" applyNumberFormat="1" applyFont="1" applyFill="1" applyBorder="1" applyAlignment="1">
      <x:alignment horizontal="center" vertical="center" wrapText="1"/>
    </x:xf>
    <x:xf numFmtId="0" fontId="52" fillId="11" borderId="0" xfId="0" applyNumberFormat="1" applyFont="1" applyFill="1" applyBorder="1" applyAlignment="1">
      <x:alignment horizontal="left" vertical="center"/>
    </x:xf>
    <x:xf numFmtId="0" fontId="52" fillId="11" borderId="5" xfId="0" applyNumberFormat="1" applyFont="1" applyFill="1" applyBorder="1" applyAlignment="1">
      <x:alignment horizontal="left" vertical="center"/>
    </x:xf>
    <x:xf numFmtId="0" fontId="40" fillId="15" borderId="0" xfId="0" applyNumberFormat="1" applyFont="1" applyFill="1" applyBorder="1"/>
    <x:xf numFmtId="0" fontId="40" fillId="15" borderId="5" xfId="0" applyNumberFormat="1" applyFont="1" applyFill="1" applyBorder="1"/>
    <x:xf numFmtId="0" fontId="41" fillId="10" borderId="0" xfId="0" applyNumberFormat="1" applyFont="1" applyFill="1" applyBorder="1"/>
    <x:xf numFmtId="0" fontId="41" fillId="10" borderId="63" xfId="0" applyNumberFormat="1" applyFont="1" applyFill="1" applyBorder="1"/>
    <x:xf numFmtId="0" fontId="41" fillId="10" borderId="64" xfId="0" applyNumberFormat="1" applyFont="1" applyFill="1" applyBorder="1"/>
    <x:xf numFmtId="0" fontId="41" fillId="10" borderId="66" xfId="0" applyNumberFormat="1" applyFont="1" applyFill="1" applyBorder="1"/>
    <x:xf numFmtId="0" fontId="40" fillId="10" borderId="65" xfId="0" applyNumberFormat="1" applyFont="1" applyFill="1" applyBorder="1" applyAlignment="1">
      <x:alignment vertical="center" wrapText="1"/>
    </x:xf>
    <x:xf numFmtId="164" fontId="40" fillId="10" borderId="66" xfId="0" applyNumberFormat="1" applyFont="1" applyFill="1" applyBorder="1" applyAlignment="1">
      <x:alignment horizontal="right" vertical="center" wrapText="1"/>
    </x:xf>
    <x:xf numFmtId="0" fontId="40" fillId="10" borderId="67" xfId="0" applyNumberFormat="1" applyFont="1" applyFill="1" applyBorder="1" applyAlignment="1">
      <x:alignment vertical="center" wrapText="1"/>
    </x:xf>
    <x:xf numFmtId="10" fontId="40" fillId="10" borderId="68" xfId="0" applyNumberFormat="1" applyFont="1" applyFill="1" applyBorder="1" applyAlignment="1">
      <x:alignment horizontal="right" vertical="center" wrapText="1"/>
    </x:xf>
    <x:xf numFmtId="164" fontId="40" fillId="10" borderId="69" xfId="0" applyNumberFormat="1" applyFont="1" applyFill="1" applyBorder="1" applyAlignment="1">
      <x:alignment horizontal="right" vertical="center" wrapText="1"/>
    </x:xf>
    <x:xf numFmtId="0" fontId="41" fillId="10" borderId="5" xfId="0" applyNumberFormat="1" applyFont="1" applyFill="1" applyBorder="1"/>
    <x:xf numFmtId="0" fontId="41" fillId="10" borderId="71" xfId="0" applyNumberFormat="1" applyFont="1" applyFill="1" applyBorder="1"/>
    <x:xf numFmtId="0" fontId="41" fillId="10" borderId="72" xfId="0" applyNumberFormat="1" applyFont="1" applyFill="1" applyBorder="1"/>
    <x:xf numFmtId="0" fontId="41" fillId="10" borderId="74" xfId="0" applyNumberFormat="1" applyFont="1" applyFill="1" applyBorder="1"/>
    <x:xf numFmtId="0" fontId="40" fillId="10" borderId="73" xfId="0" applyNumberFormat="1" applyFont="1" applyFill="1" applyBorder="1" applyAlignment="1">
      <x:alignment vertical="center" wrapText="1"/>
    </x:xf>
    <x:xf numFmtId="164" fontId="40" fillId="10" borderId="74" xfId="0" applyNumberFormat="1" applyFont="1" applyFill="1" applyBorder="1" applyAlignment="1">
      <x:alignment horizontal="right" vertical="center" wrapText="1"/>
    </x:xf>
    <x:xf numFmtId="0" fontId="40" fillId="10" borderId="75" xfId="0" applyNumberFormat="1" applyFont="1" applyFill="1" applyBorder="1" applyAlignment="1">
      <x:alignment vertical="center" wrapText="1"/>
    </x:xf>
    <x:xf numFmtId="10" fontId="40" fillId="10" borderId="76" xfId="0" applyNumberFormat="1" applyFont="1" applyFill="1" applyBorder="1" applyAlignment="1">
      <x:alignment horizontal="right" vertical="center" wrapText="1"/>
    </x:xf>
    <x:xf numFmtId="164" fontId="40" fillId="10" borderId="77" xfId="0" applyNumberFormat="1" applyFont="1" applyFill="1" applyBorder="1" applyAlignment="1">
      <x:alignment horizontal="right" vertical="center" wrapText="1"/>
    </x:xf>
    <x:xf numFmtId="4" fontId="40" fillId="15" borderId="0" xfId="0" applyNumberFormat="1" applyFont="1" applyFill="1" applyBorder="1" applyAlignment="1">
      <x:alignment horizontal="right" vertical="center" wrapText="1"/>
    </x:xf>
    <x:xf numFmtId="4" fontId="45" fillId="15" borderId="0" xfId="0" applyNumberFormat="1" applyFont="1" applyFill="1" applyBorder="1" applyAlignment="1">
      <x:alignment horizontal="right" vertical="center" wrapText="1"/>
    </x:xf>
    <x:xf numFmtId="4" fontId="45" fillId="15" borderId="78" xfId="0" applyNumberFormat="1" applyFont="1" applyFill="1" applyBorder="1" applyAlignment="1">
      <x:alignment horizontal="right" vertical="center" wrapText="1"/>
    </x:xf>
    <x:xf numFmtId="4" fontId="40" fillId="15" borderId="5" xfId="0" applyNumberFormat="1" applyFont="1" applyFill="1" applyBorder="1" applyAlignment="1">
      <x:alignment horizontal="right" vertical="center" wrapText="1"/>
    </x:xf>
    <x:xf numFmtId="4" fontId="45" fillId="15" borderId="5" xfId="0" applyNumberFormat="1" applyFont="1" applyFill="1" applyBorder="1" applyAlignment="1">
      <x:alignment horizontal="right" vertical="center" wrapText="1"/>
    </x:xf>
    <x:xf numFmtId="4" fontId="45" fillId="15" borderId="79" xfId="0" applyNumberFormat="1" applyFont="1" applyFill="1" applyBorder="1" applyAlignment="1">
      <x:alignment horizontal="right" vertical="center" wrapText="1"/>
    </x:xf>
    <x:xf numFmtId="164" fontId="40" fillId="16" borderId="0" xfId="0" applyNumberFormat="1" applyFont="1" applyFill="1" applyBorder="1" applyAlignment="1">
      <x:alignment horizontal="right" vertical="center" wrapText="1"/>
    </x:xf>
    <x:xf numFmtId="164" fontId="40" fillId="16" borderId="5" xfId="0" applyNumberFormat="1" applyFont="1" applyFill="1" applyBorder="1" applyAlignment="1">
      <x:alignment horizontal="right" vertical="center" wrapText="1"/>
    </x:xf>
    <x:xf numFmtId="4" fontId="40" fillId="16" borderId="0" xfId="0" applyNumberFormat="1" applyFont="1" applyFill="1" applyBorder="1" applyAlignment="1">
      <x:alignment horizontal="right" vertical="center" wrapText="1"/>
    </x:xf>
    <x:xf numFmtId="10" fontId="40" fillId="16" borderId="0" xfId="0" applyNumberFormat="1" applyFont="1" applyFill="1" applyBorder="1" applyAlignment="1">
      <x:alignment horizontal="right" vertical="center" wrapText="1"/>
    </x:xf>
    <x:xf numFmtId="164" fontId="40" fillId="16" borderId="66" xfId="0" applyNumberFormat="1" applyFont="1" applyFill="1" applyBorder="1" applyAlignment="1">
      <x:alignment horizontal="right" vertical="center" wrapText="1"/>
    </x:xf>
    <x:xf numFmtId="4" fontId="40" fillId="16" borderId="5" xfId="0" applyNumberFormat="1" applyFont="1" applyFill="1" applyBorder="1" applyAlignment="1">
      <x:alignment horizontal="right" vertical="center" wrapText="1"/>
    </x:xf>
    <x:xf numFmtId="10" fontId="40" fillId="16" borderId="5" xfId="0" applyNumberFormat="1" applyFont="1" applyFill="1" applyBorder="1" applyAlignment="1">
      <x:alignment horizontal="right" vertical="center" wrapText="1"/>
    </x:xf>
    <x:xf numFmtId="164" fontId="40" fillId="16" borderId="74" xfId="0" applyNumberFormat="1" applyFont="1" applyFill="1" applyBorder="1" applyAlignment="1">
      <x:alignment horizontal="right" vertical="center" wrapText="1"/>
    </x:xf>
    <x:xf numFmtId="0" fontId="40" fillId="17" borderId="65" xfId="0" applyNumberFormat="1" applyFont="1" applyFill="1" applyBorder="1" applyAlignment="1">
      <x:alignment vertical="center" wrapText="1"/>
    </x:xf>
    <x:xf numFmtId="4" fontId="40" fillId="17" borderId="0" xfId="0" applyNumberFormat="1" applyFont="1" applyFill="1" applyBorder="1" applyAlignment="1">
      <x:alignment horizontal="right" vertical="center" wrapText="1"/>
    </x:xf>
    <x:xf numFmtId="164" fontId="40" fillId="17" borderId="0" xfId="0" applyNumberFormat="1" applyFont="1" applyFill="1" applyBorder="1" applyAlignment="1">
      <x:alignment horizontal="right" vertical="center" wrapText="1"/>
    </x:xf>
    <x:xf numFmtId="10" fontId="40" fillId="17" borderId="0" xfId="0" applyNumberFormat="1" applyFont="1" applyFill="1" applyBorder="1" applyAlignment="1">
      <x:alignment horizontal="right" vertical="center" wrapText="1"/>
    </x:xf>
    <x:xf numFmtId="164" fontId="40" fillId="17" borderId="66" xfId="0" applyNumberFormat="1" applyFont="1" applyFill="1" applyBorder="1" applyAlignment="1">
      <x:alignment horizontal="right" vertical="center" wrapText="1"/>
    </x:xf>
    <x:xf numFmtId="0" fontId="40" fillId="17" borderId="73" xfId="0" applyNumberFormat="1" applyFont="1" applyFill="1" applyBorder="1" applyAlignment="1">
      <x:alignment vertical="center" wrapText="1"/>
    </x:xf>
    <x:xf numFmtId="4" fontId="40" fillId="17" borderId="5" xfId="0" applyNumberFormat="1" applyFont="1" applyFill="1" applyBorder="1" applyAlignment="1">
      <x:alignment horizontal="right" vertical="center" wrapText="1"/>
    </x:xf>
    <x:xf numFmtId="164" fontId="40" fillId="17" borderId="5" xfId="0" applyNumberFormat="1" applyFont="1" applyFill="1" applyBorder="1" applyAlignment="1">
      <x:alignment horizontal="right" vertical="center" wrapText="1"/>
    </x:xf>
    <x:xf numFmtId="10" fontId="40" fillId="17" borderId="5" xfId="0" applyNumberFormat="1" applyFont="1" applyFill="1" applyBorder="1" applyAlignment="1">
      <x:alignment horizontal="right" vertical="center" wrapText="1"/>
    </x:xf>
    <x:xf numFmtId="164" fontId="40" fillId="17" borderId="74" xfId="0" applyNumberFormat="1" applyFont="1" applyFill="1" applyBorder="1" applyAlignment="1">
      <x:alignment horizontal="right" vertical="center" wrapText="1"/>
    </x:xf>
    <x:xf numFmtId="4" fontId="40" fillId="15" borderId="68" xfId="0" applyNumberFormat="1" applyFont="1" applyFill="1" applyBorder="1" applyAlignment="1">
      <x:alignment horizontal="right" vertical="center" wrapText="1"/>
    </x:xf>
    <x:xf numFmtId="4" fontId="45" fillId="15" borderId="68" xfId="0" applyNumberFormat="1" applyFont="1" applyFill="1" applyBorder="1" applyAlignment="1">
      <x:alignment horizontal="right" vertical="center" wrapText="1"/>
    </x:xf>
    <x:xf numFmtId="4" fontId="40" fillId="15" borderId="76" xfId="0" applyNumberFormat="1" applyFont="1" applyFill="1" applyBorder="1" applyAlignment="1">
      <x:alignment horizontal="right" vertical="center" wrapText="1"/>
    </x:xf>
    <x:xf numFmtId="4" fontId="45" fillId="15" borderId="76" xfId="0" applyNumberFormat="1" applyFont="1" applyFill="1" applyBorder="1" applyAlignment="1">
      <x:alignment horizontal="right" vertical="center" wrapText="1"/>
    </x:xf>
    <x:xf numFmtId="164" fontId="40" fillId="16" borderId="68" xfId="0" applyNumberFormat="1" applyFont="1" applyFill="1" applyBorder="1" applyAlignment="1">
      <x:alignment horizontal="right" vertical="center" wrapText="1"/>
    </x:xf>
    <x:xf numFmtId="164" fontId="40" fillId="16" borderId="76" xfId="0" applyNumberFormat="1" applyFont="1" applyFill="1" applyBorder="1" applyAlignment="1">
      <x:alignment horizontal="right" vertical="center" wrapText="1"/>
    </x:xf>
    <x:xf numFmtId="4" fontId="40" fillId="16" borderId="68" xfId="0" applyNumberFormat="1" applyFont="1" applyFill="1" applyBorder="1" applyAlignment="1">
      <x:alignment horizontal="right" vertical="center" wrapText="1"/>
    </x:xf>
    <x:xf numFmtId="10" fontId="40" fillId="16" borderId="68" xfId="0" applyNumberFormat="1" applyFont="1" applyFill="1" applyBorder="1" applyAlignment="1">
      <x:alignment horizontal="right" vertical="center" wrapText="1"/>
    </x:xf>
    <x:xf numFmtId="164" fontId="40" fillId="16" borderId="69" xfId="0" applyNumberFormat="1" applyFont="1" applyFill="1" applyBorder="1" applyAlignment="1">
      <x:alignment horizontal="right" vertical="center" wrapText="1"/>
    </x:xf>
    <x:xf numFmtId="4" fontId="40" fillId="16" borderId="76" xfId="0" applyNumberFormat="1" applyFont="1" applyFill="1" applyBorder="1" applyAlignment="1">
      <x:alignment horizontal="right" vertical="center" wrapText="1"/>
    </x:xf>
    <x:xf numFmtId="10" fontId="40" fillId="16" borderId="76" xfId="0" applyNumberFormat="1" applyFont="1" applyFill="1" applyBorder="1" applyAlignment="1">
      <x:alignment horizontal="right" vertical="center" wrapText="1"/>
    </x:xf>
    <x:xf numFmtId="164" fontId="40" fillId="16" borderId="77" xfId="0" applyNumberFormat="1" applyFont="1" applyFill="1" applyBorder="1" applyAlignment="1">
      <x:alignment horizontal="right" vertical="center" wrapText="1"/>
    </x:xf>
    <x:xf numFmtId="0" fontId="41" fillId="11" borderId="62" xfId="0" applyNumberFormat="1" applyFont="1" applyFill="1" applyBorder="1" applyAlignment="1">
      <x:alignment vertical="center" wrapText="1"/>
    </x:xf>
    <x:xf numFmtId="0" fontId="41" fillId="11" borderId="63" xfId="0" applyNumberFormat="1" applyFont="1" applyFill="1" applyBorder="1" applyAlignment="1">
      <x:alignment vertical="center"/>
    </x:xf>
    <x:xf numFmtId="0" fontId="41" fillId="11" borderId="64" xfId="0" applyNumberFormat="1" applyFont="1" applyFill="1" applyBorder="1" applyAlignment="1">
      <x:alignment vertical="center"/>
    </x:xf>
    <x:xf numFmtId="0" fontId="47" fillId="11" borderId="62" xfId="0" applyNumberFormat="1" applyFont="1" applyFill="1" applyBorder="1" applyAlignment="1">
      <x:alignment vertical="center" wrapText="1"/>
    </x:xf>
    <x:xf numFmtId="0" fontId="47" fillId="11" borderId="63" xfId="0" applyNumberFormat="1" applyFont="1" applyFill="1" applyBorder="1" applyAlignment="1">
      <x:alignment vertical="center"/>
    </x:xf>
    <x:xf numFmtId="0" fontId="47" fillId="11" borderId="64" xfId="0" applyNumberFormat="1" applyFont="1" applyFill="1" applyBorder="1" applyAlignment="1">
      <x:alignment vertical="center"/>
    </x:xf>
    <x:xf numFmtId="0" fontId="47" fillId="11" borderId="50" xfId="0" applyNumberFormat="1" applyFont="1" applyFill="1" applyBorder="1" applyAlignment="1">
      <x:alignment vertical="center" wrapText="1"/>
    </x:xf>
    <x:xf numFmtId="0" fontId="47" fillId="11" borderId="51" xfId="0" applyNumberFormat="1" applyFont="1" applyFill="1" applyBorder="1" applyAlignment="1">
      <x:alignment vertical="center"/>
    </x:xf>
    <x:xf numFmtId="0" fontId="47" fillId="11" borderId="52" xfId="0" applyNumberFormat="1" applyFont="1" applyFill="1" applyBorder="1" applyAlignment="1">
      <x:alignment vertical="center"/>
    </x:xf>
    <x:xf numFmtId="0" fontId="41" fillId="11" borderId="70" xfId="0" applyNumberFormat="1" applyFont="1" applyFill="1" applyBorder="1" applyAlignment="1">
      <x:alignment vertical="center" wrapText="1"/>
    </x:xf>
    <x:xf numFmtId="0" fontId="41" fillId="11" borderId="71" xfId="0" applyNumberFormat="1" applyFont="1" applyFill="1" applyBorder="1" applyAlignment="1">
      <x:alignment vertical="center"/>
    </x:xf>
    <x:xf numFmtId="0" fontId="41" fillId="11" borderId="72" xfId="0" applyNumberFormat="1" applyFont="1" applyFill="1" applyBorder="1" applyAlignment="1">
      <x:alignment vertical="center"/>
    </x:xf>
    <x:xf numFmtId="0" fontId="47" fillId="11" borderId="70" xfId="0" applyNumberFormat="1" applyFont="1" applyFill="1" applyBorder="1" applyAlignment="1">
      <x:alignment vertical="center" wrapText="1"/>
    </x:xf>
    <x:xf numFmtId="0" fontId="47" fillId="11" borderId="71" xfId="0" applyNumberFormat="1" applyFont="1" applyFill="1" applyBorder="1" applyAlignment="1">
      <x:alignment vertical="center"/>
    </x:xf>
    <x:xf numFmtId="0" fontId="47" fillId="11" borderId="72" xfId="0" applyNumberFormat="1" applyFont="1" applyFill="1" applyBorder="1" applyAlignment="1">
      <x:alignment vertical="center"/>
    </x:xf>
    <x:xf numFmtId="0" fontId="47" fillId="11" borderId="53" xfId="0" applyNumberFormat="1" applyFont="1" applyFill="1" applyBorder="1" applyAlignment="1">
      <x:alignment vertical="center" wrapText="1"/>
    </x:xf>
    <x:xf numFmtId="0" fontId="47" fillId="11" borderId="54" xfId="0" applyNumberFormat="1" applyFont="1" applyFill="1" applyBorder="1" applyAlignment="1">
      <x:alignment vertical="center"/>
    </x:xf>
    <x:xf numFmtId="0" fontId="47" fillId="11" borderId="55" xfId="0" applyNumberFormat="1" applyFont="1" applyFill="1" applyBorder="1" applyAlignment="1">
      <x:alignment vertical="center"/>
    </x:xf>
    <x:xf numFmtId="0" fontId="41" fillId="15" borderId="65" xfId="0" applyNumberFormat="1" applyFont="1" applyFill="1" applyBorder="1" applyAlignment="1">
      <x:alignment vertical="center" wrapText="1"/>
    </x:xf>
    <x:xf numFmtId="0" fontId="41" fillId="15" borderId="0" xfId="0" applyNumberFormat="1" applyFont="1" applyFill="1" applyBorder="1" applyAlignment="1">
      <x:alignment vertical="center"/>
    </x:xf>
    <x:xf numFmtId="0" fontId="41" fillId="15" borderId="66" xfId="0" applyNumberFormat="1" applyFont="1" applyFill="1" applyBorder="1" applyAlignment="1">
      <x:alignment vertical="center"/>
    </x:xf>
    <x:xf numFmtId="0" fontId="45" fillId="15" borderId="65" xfId="0" applyNumberFormat="1" applyFont="1" applyFill="1" applyBorder="1" applyAlignment="1">
      <x:alignment vertical="center" wrapText="1"/>
    </x:xf>
    <x:xf numFmtId="0" fontId="45" fillId="15" borderId="0" xfId="0" applyNumberFormat="1" applyFont="1" applyFill="1" applyBorder="1" applyAlignment="1">
      <x:alignment vertical="center"/>
    </x:xf>
    <x:xf numFmtId="0" fontId="45" fillId="15" borderId="66" xfId="0" applyNumberFormat="1" applyFont="1" applyFill="1" applyBorder="1" applyAlignment="1">
      <x:alignment vertical="center"/>
    </x:xf>
    <x:xf numFmtId="0" fontId="45" fillId="15" borderId="80" xfId="0" applyNumberFormat="1" applyFont="1" applyFill="1" applyBorder="1" applyAlignment="1">
      <x:alignment vertical="center" wrapText="1"/>
    </x:xf>
    <x:xf numFmtId="0" fontId="45" fillId="15" borderId="81" xfId="0" applyNumberFormat="1" applyFont="1" applyFill="1" applyBorder="1" applyAlignment="1">
      <x:alignment vertical="center"/>
    </x:xf>
    <x:xf numFmtId="0" fontId="45" fillId="15" borderId="82" xfId="0" applyNumberFormat="1" applyFont="1" applyFill="1" applyBorder="1" applyAlignment="1">
      <x:alignment vertical="center"/>
    </x:xf>
    <x:xf numFmtId="0" fontId="41" fillId="15" borderId="73" xfId="0" applyNumberFormat="1" applyFont="1" applyFill="1" applyBorder="1" applyAlignment="1">
      <x:alignment vertical="center" wrapText="1"/>
    </x:xf>
    <x:xf numFmtId="0" fontId="41" fillId="15" borderId="5" xfId="0" applyNumberFormat="1" applyFont="1" applyFill="1" applyBorder="1" applyAlignment="1">
      <x:alignment vertical="center"/>
    </x:xf>
    <x:xf numFmtId="0" fontId="41" fillId="15" borderId="74" xfId="0" applyNumberFormat="1" applyFont="1" applyFill="1" applyBorder="1" applyAlignment="1">
      <x:alignment vertical="center"/>
    </x:xf>
    <x:xf numFmtId="0" fontId="45" fillId="15" borderId="73" xfId="0" applyNumberFormat="1" applyFont="1" applyFill="1" applyBorder="1" applyAlignment="1">
      <x:alignment vertical="center" wrapText="1"/>
    </x:xf>
    <x:xf numFmtId="0" fontId="45" fillId="15" borderId="5" xfId="0" applyNumberFormat="1" applyFont="1" applyFill="1" applyBorder="1" applyAlignment="1">
      <x:alignment vertical="center"/>
    </x:xf>
    <x:xf numFmtId="0" fontId="45" fillId="15" borderId="74" xfId="0" applyNumberFormat="1" applyFont="1" applyFill="1" applyBorder="1" applyAlignment="1">
      <x:alignment vertical="center"/>
    </x:xf>
    <x:xf numFmtId="0" fontId="45" fillId="15" borderId="83" xfId="0" applyNumberFormat="1" applyFont="1" applyFill="1" applyBorder="1" applyAlignment="1">
      <x:alignment vertical="center" wrapText="1"/>
    </x:xf>
    <x:xf numFmtId="0" fontId="45" fillId="15" borderId="84" xfId="0" applyNumberFormat="1" applyFont="1" applyFill="1" applyBorder="1" applyAlignment="1">
      <x:alignment vertical="center"/>
    </x:xf>
    <x:xf numFmtId="0" fontId="45" fillId="15" borderId="85" xfId="0" applyNumberFormat="1" applyFont="1" applyFill="1" applyBorder="1" applyAlignment="1">
      <x:alignment vertical="center"/>
    </x:xf>
    <x:xf numFmtId="0" fontId="41" fillId="16" borderId="65" xfId="0" applyNumberFormat="1" applyFont="1" applyFill="1" applyBorder="1" applyAlignment="1">
      <x:alignment vertical="center" wrapText="1"/>
    </x:xf>
    <x:xf numFmtId="0" fontId="41" fillId="16" borderId="0" xfId="0" applyNumberFormat="1" applyFont="1" applyFill="1" applyBorder="1" applyAlignment="1">
      <x:alignment vertical="center"/>
    </x:xf>
    <x:xf numFmtId="0" fontId="41" fillId="16" borderId="66" xfId="0" applyNumberFormat="1" applyFont="1" applyFill="1" applyBorder="1" applyAlignment="1">
      <x:alignment vertical="center"/>
    </x:xf>
    <x:xf numFmtId="0" fontId="37" fillId="16" borderId="65" xfId="0" applyNumberFormat="1" applyFont="1" applyFill="1" applyBorder="1" applyAlignment="1">
      <x:alignment vertical="center" wrapText="1"/>
    </x:xf>
    <x:xf numFmtId="0" fontId="37" fillId="16" borderId="0" xfId="0" applyNumberFormat="1" applyFont="1" applyFill="1" applyBorder="1" applyAlignment="1">
      <x:alignment vertical="center"/>
    </x:xf>
    <x:xf numFmtId="0" fontId="37" fillId="16" borderId="66" xfId="0" applyNumberFormat="1" applyFont="1" applyFill="1" applyBorder="1" applyAlignment="1">
      <x:alignment vertical="center"/>
    </x:xf>
    <x:xf numFmtId="0" fontId="37" fillId="16" borderId="36" xfId="0" applyNumberFormat="1" applyFont="1" applyFill="1" applyBorder="1" applyAlignment="1">
      <x:alignment vertical="center" wrapText="1"/>
    </x:xf>
    <x:xf numFmtId="0" fontId="37" fillId="16" borderId="42" xfId="0" applyNumberFormat="1" applyFont="1" applyFill="1" applyBorder="1" applyAlignment="1">
      <x:alignment vertical="center"/>
    </x:xf>
    <x:xf numFmtId="0" fontId="37" fillId="16" borderId="43" xfId="0" applyNumberFormat="1" applyFont="1" applyFill="1" applyBorder="1" applyAlignment="1">
      <x:alignment vertical="center"/>
    </x:xf>
    <x:xf numFmtId="0" fontId="41" fillId="16" borderId="73" xfId="0" applyNumberFormat="1" applyFont="1" applyFill="1" applyBorder="1" applyAlignment="1">
      <x:alignment vertical="center" wrapText="1"/>
    </x:xf>
    <x:xf numFmtId="0" fontId="41" fillId="16" borderId="5" xfId="0" applyNumberFormat="1" applyFont="1" applyFill="1" applyBorder="1" applyAlignment="1">
      <x:alignment vertical="center"/>
    </x:xf>
    <x:xf numFmtId="0" fontId="41" fillId="16" borderId="74" xfId="0" applyNumberFormat="1" applyFont="1" applyFill="1" applyBorder="1" applyAlignment="1">
      <x:alignment vertical="center"/>
    </x:xf>
    <x:xf numFmtId="0" fontId="37" fillId="16" borderId="73" xfId="0" applyNumberFormat="1" applyFont="1" applyFill="1" applyBorder="1" applyAlignment="1">
      <x:alignment vertical="center" wrapText="1"/>
    </x:xf>
    <x:xf numFmtId="0" fontId="37" fillId="16" borderId="5" xfId="0" applyNumberFormat="1" applyFont="1" applyFill="1" applyBorder="1" applyAlignment="1">
      <x:alignment vertical="center"/>
    </x:xf>
    <x:xf numFmtId="0" fontId="37" fillId="16" borderId="74" xfId="0" applyNumberFormat="1" applyFont="1" applyFill="1" applyBorder="1" applyAlignment="1">
      <x:alignment vertical="center"/>
    </x:xf>
    <x:xf numFmtId="0" fontId="37" fillId="16" borderId="39" xfId="0" applyNumberFormat="1" applyFont="1" applyFill="1" applyBorder="1" applyAlignment="1">
      <x:alignment vertical="center" wrapText="1"/>
    </x:xf>
    <x:xf numFmtId="0" fontId="37" fillId="16" borderId="44" xfId="0" applyNumberFormat="1" applyFont="1" applyFill="1" applyBorder="1" applyAlignment="1">
      <x:alignment vertical="center"/>
    </x:xf>
    <x:xf numFmtId="0" fontId="37" fillId="16" borderId="45" xfId="0" applyNumberFormat="1" applyFont="1" applyFill="1" applyBorder="1" applyAlignment="1">
      <x:alignment vertical="center"/>
    </x:xf>
    <x:xf numFmtId="200" fontId="47" fillId="11" borderId="51" xfId="0" applyNumberFormat="1" applyFont="1" applyFill="1" applyBorder="1" applyAlignment="1">
      <x:alignment vertical="center"/>
    </x:xf>
    <x:xf numFmtId="200" fontId="45" fillId="15" borderId="81" xfId="0" applyNumberFormat="1" applyFont="1" applyFill="1" applyBorder="1" applyAlignment="1">
      <x:alignment vertical="center"/>
    </x:xf>
    <x:xf numFmtId="200" fontId="40" fillId="10" borderId="0" xfId="0" applyNumberFormat="1" applyFont="1" applyFill="1" applyBorder="1" applyAlignment="1">
      <x:alignment horizontal="right" vertical="center" wrapText="1"/>
    </x:xf>
    <x:xf numFmtId="200" fontId="40" fillId="17" borderId="0" xfId="0" applyNumberFormat="1" applyFont="1" applyFill="1" applyBorder="1" applyAlignment="1">
      <x:alignment horizontal="right" vertical="center" wrapText="1"/>
    </x:xf>
    <x:xf numFmtId="200" fontId="37" fillId="16" borderId="42" xfId="0" applyNumberFormat="1" applyFont="1" applyFill="1" applyBorder="1" applyAlignment="1">
      <x:alignment vertical="center"/>
    </x:xf>
    <x:xf numFmtId="200" fontId="40" fillId="10" borderId="68" xfId="0" applyNumberFormat="1" applyFont="1" applyFill="1" applyBorder="1" applyAlignment="1">
      <x:alignment horizontal="right" vertical="center" wrapText="1"/>
    </x:xf>
    <x:xf numFmtId="200" fontId="47" fillId="11" borderId="54" xfId="0" applyNumberFormat="1" applyFont="1" applyFill="1" applyBorder="1" applyAlignment="1">
      <x:alignment vertical="center"/>
    </x:xf>
    <x:xf numFmtId="200" fontId="45" fillId="15" borderId="84" xfId="0" applyNumberFormat="1" applyFont="1" applyFill="1" applyBorder="1" applyAlignment="1">
      <x:alignment vertical="center"/>
    </x:xf>
    <x:xf numFmtId="200" fontId="40" fillId="10" borderId="5" xfId="0" applyNumberFormat="1" applyFont="1" applyFill="1" applyBorder="1" applyAlignment="1">
      <x:alignment horizontal="right" vertical="center" wrapText="1"/>
    </x:xf>
    <x:xf numFmtId="200" fontId="40" fillId="17" borderId="5" xfId="0" applyNumberFormat="1" applyFont="1" applyFill="1" applyBorder="1" applyAlignment="1">
      <x:alignment horizontal="right" vertical="center" wrapText="1"/>
    </x:xf>
    <x:xf numFmtId="200" fontId="37" fillId="16" borderId="44" xfId="0" applyNumberFormat="1" applyFont="1" applyFill="1" applyBorder="1" applyAlignment="1">
      <x:alignment vertical="center"/>
    </x:xf>
    <x:xf numFmtId="200" fontId="40" fillId="10" borderId="76" xfId="0" applyNumberFormat="1" applyFont="1" applyFill="1" applyBorder="1" applyAlignment="1">
      <x:alignment horizontal="right" vertical="center" wrapText="1"/>
    </x:xf>
    <x:xf numFmtId="201" fontId="47" fillId="11" borderId="51" xfId="0" applyNumberFormat="1" applyFont="1" applyFill="1" applyBorder="1" applyAlignment="1">
      <x:alignment vertical="center"/>
    </x:xf>
    <x:xf numFmtId="201" fontId="45" fillId="15" borderId="81" xfId="0" applyNumberFormat="1" applyFont="1" applyFill="1" applyBorder="1" applyAlignment="1">
      <x:alignment vertical="center"/>
    </x:xf>
    <x:xf numFmtId="201" fontId="40" fillId="10" borderId="0" xfId="0" applyNumberFormat="1" applyFont="1" applyFill="1" applyBorder="1" applyAlignment="1">
      <x:alignment horizontal="right" vertical="center" wrapText="1"/>
    </x:xf>
    <x:xf numFmtId="201" fontId="40" fillId="16" borderId="0" xfId="0" applyNumberFormat="1" applyFont="1" applyFill="1" applyBorder="1" applyAlignment="1">
      <x:alignment horizontal="right" vertical="center" wrapText="1"/>
    </x:xf>
    <x:xf numFmtId="201" fontId="40" fillId="17" borderId="0" xfId="0" applyNumberFormat="1" applyFont="1" applyFill="1" applyBorder="1" applyAlignment="1">
      <x:alignment horizontal="right" vertical="center" wrapText="1"/>
    </x:xf>
    <x:xf numFmtId="201" fontId="37" fillId="16" borderId="42" xfId="0" applyNumberFormat="1" applyFont="1" applyFill="1" applyBorder="1" applyAlignment="1">
      <x:alignment vertical="center"/>
    </x:xf>
    <x:xf numFmtId="201" fontId="40" fillId="10" borderId="68" xfId="0" applyNumberFormat="1" applyFont="1" applyFill="1" applyBorder="1" applyAlignment="1">
      <x:alignment horizontal="right" vertical="center" wrapText="1"/>
    </x:xf>
    <x:xf numFmtId="201" fontId="40" fillId="16" borderId="68" xfId="0" applyNumberFormat="1" applyFont="1" applyFill="1" applyBorder="1" applyAlignment="1">
      <x:alignment horizontal="right" vertical="center" wrapText="1"/>
    </x:xf>
    <x:xf numFmtId="201" fontId="47" fillId="11" borderId="54" xfId="0" applyNumberFormat="1" applyFont="1" applyFill="1" applyBorder="1" applyAlignment="1">
      <x:alignment vertical="center"/>
    </x:xf>
    <x:xf numFmtId="201" fontId="45" fillId="15" borderId="84" xfId="0" applyNumberFormat="1" applyFont="1" applyFill="1" applyBorder="1" applyAlignment="1">
      <x:alignment vertical="center"/>
    </x:xf>
    <x:xf numFmtId="201" fontId="40" fillId="10" borderId="5" xfId="0" applyNumberFormat="1" applyFont="1" applyFill="1" applyBorder="1" applyAlignment="1">
      <x:alignment horizontal="right" vertical="center" wrapText="1"/>
    </x:xf>
    <x:xf numFmtId="201" fontId="40" fillId="16" borderId="5" xfId="0" applyNumberFormat="1" applyFont="1" applyFill="1" applyBorder="1" applyAlignment="1">
      <x:alignment horizontal="right" vertical="center" wrapText="1"/>
    </x:xf>
    <x:xf numFmtId="201" fontId="40" fillId="17" borderId="5" xfId="0" applyNumberFormat="1" applyFont="1" applyFill="1" applyBorder="1" applyAlignment="1">
      <x:alignment horizontal="right" vertical="center" wrapText="1"/>
    </x:xf>
    <x:xf numFmtId="201" fontId="37" fillId="16" borderId="44" xfId="0" applyNumberFormat="1" applyFont="1" applyFill="1" applyBorder="1" applyAlignment="1">
      <x:alignment vertical="center"/>
    </x:xf>
    <x:xf numFmtId="201" fontId="40" fillId="10" borderId="76" xfId="0" applyNumberFormat="1" applyFont="1" applyFill="1" applyBorder="1" applyAlignment="1">
      <x:alignment horizontal="right" vertical="center" wrapText="1"/>
    </x:xf>
    <x:xf numFmtId="201" fontId="40" fillId="16" borderId="76" xfId="0" applyNumberFormat="1" applyFont="1" applyFill="1" applyBorder="1" applyAlignment="1">
      <x:alignment horizontal="right" vertical="center" wrapText="1"/>
    </x:xf>
    <x:xf numFmtId="200" fontId="45" fillId="15" borderId="78" xfId="0" applyNumberFormat="1" applyFont="1" applyFill="1" applyBorder="1" applyAlignment="1">
      <x:alignment horizontal="center" vertical="center" wrapText="1"/>
    </x:xf>
    <x:xf numFmtId="200" fontId="40" fillId="16" borderId="0" xfId="0" applyNumberFormat="1" applyFont="1" applyFill="1" applyBorder="1" applyAlignment="1">
      <x:alignment horizontal="right" vertical="center" wrapText="1"/>
    </x:xf>
    <x:xf numFmtId="200" fontId="40" fillId="16" borderId="68" xfId="0" applyNumberFormat="1" applyFont="1" applyFill="1" applyBorder="1" applyAlignment="1">
      <x:alignment horizontal="right" vertical="center" wrapText="1"/>
    </x:xf>
    <x:xf numFmtId="200" fontId="45" fillId="15" borderId="79" xfId="0" applyNumberFormat="1" applyFont="1" applyFill="1" applyBorder="1" applyAlignment="1">
      <x:alignment horizontal="center" vertical="center" wrapText="1"/>
    </x:xf>
    <x:xf numFmtId="200" fontId="40" fillId="16" borderId="5" xfId="0" applyNumberFormat="1" applyFont="1" applyFill="1" applyBorder="1" applyAlignment="1">
      <x:alignment horizontal="right" vertical="center" wrapText="1"/>
    </x:xf>
    <x:xf numFmtId="200" fontId="40" fillId="16" borderId="76" xfId="0" applyNumberFormat="1" applyFont="1" applyFill="1" applyBorder="1" applyAlignment="1">
      <x:alignment horizontal="right" vertical="center" wrapText="1"/>
    </x:xf>
    <x:xf numFmtId="202" fontId="47" fillId="11" borderId="51" xfId="0" applyNumberFormat="1" applyFont="1" applyFill="1" applyBorder="1" applyAlignment="1">
      <x:alignment vertical="center"/>
    </x:xf>
    <x:xf numFmtId="202" fontId="45" fillId="15" borderId="81" xfId="0" applyNumberFormat="1" applyFont="1" applyFill="1" applyBorder="1" applyAlignment="1">
      <x:alignment vertical="center"/>
    </x:xf>
    <x:xf numFmtId="202" fontId="40" fillId="16" borderId="0" xfId="0" applyNumberFormat="1" applyFont="1" applyFill="1" applyBorder="1" applyAlignment="1">
      <x:alignment horizontal="right" vertical="center" wrapText="1"/>
    </x:xf>
    <x:xf numFmtId="202" fontId="37" fillId="16" borderId="42" xfId="0" applyNumberFormat="1" applyFont="1" applyFill="1" applyBorder="1" applyAlignment="1">
      <x:alignment vertical="center"/>
    </x:xf>
    <x:xf numFmtId="202" fontId="40" fillId="16" borderId="68" xfId="0" applyNumberFormat="1" applyFont="1" applyFill="1" applyBorder="1" applyAlignment="1">
      <x:alignment horizontal="right" vertical="center" wrapText="1"/>
    </x:xf>
    <x:xf numFmtId="202" fontId="47" fillId="11" borderId="54" xfId="0" applyNumberFormat="1" applyFont="1" applyFill="1" applyBorder="1" applyAlignment="1">
      <x:alignment vertical="center"/>
    </x:xf>
    <x:xf numFmtId="202" fontId="45" fillId="15" borderId="84" xfId="0" applyNumberFormat="1" applyFont="1" applyFill="1" applyBorder="1" applyAlignment="1">
      <x:alignment vertical="center"/>
    </x:xf>
    <x:xf numFmtId="202" fontId="40" fillId="16" borderId="5" xfId="0" applyNumberFormat="1" applyFont="1" applyFill="1" applyBorder="1" applyAlignment="1">
      <x:alignment horizontal="right" vertical="center" wrapText="1"/>
    </x:xf>
    <x:xf numFmtId="202" fontId="37" fillId="16" borderId="44" xfId="0" applyNumberFormat="1" applyFont="1" applyFill="1" applyBorder="1" applyAlignment="1">
      <x:alignment vertical="center"/>
    </x:xf>
    <x:xf numFmtId="202" fontId="40" fillId="16" borderId="76" xfId="0" applyNumberFormat="1" applyFont="1" applyFill="1" applyBorder="1" applyAlignment="1">
      <x:alignment horizontal="right" vertical="center" wrapText="1"/>
    </x:xf>
    <x:xf numFmtId="201" fontId="47" fillId="11" borderId="52" xfId="0" applyNumberFormat="1" applyFont="1" applyFill="1" applyBorder="1" applyAlignment="1">
      <x:alignment vertical="center"/>
    </x:xf>
    <x:xf numFmtId="201" fontId="45" fillId="15" borderId="82" xfId="0" applyNumberFormat="1" applyFont="1" applyFill="1" applyBorder="1" applyAlignment="1">
      <x:alignment vertical="center"/>
    </x:xf>
    <x:xf numFmtId="201" fontId="40" fillId="16" borderId="66" xfId="0" applyNumberFormat="1" applyFont="1" applyFill="1" applyBorder="1" applyAlignment="1">
      <x:alignment horizontal="right" vertical="center" wrapText="1"/>
    </x:xf>
    <x:xf numFmtId="201" fontId="37" fillId="16" borderId="43" xfId="0" applyNumberFormat="1" applyFont="1" applyFill="1" applyBorder="1" applyAlignment="1">
      <x:alignment vertical="center"/>
    </x:xf>
    <x:xf numFmtId="201" fontId="40" fillId="16" borderId="69" xfId="0" applyNumberFormat="1" applyFont="1" applyFill="1" applyBorder="1" applyAlignment="1">
      <x:alignment horizontal="right" vertical="center" wrapText="1"/>
    </x:xf>
    <x:xf numFmtId="201" fontId="47" fillId="11" borderId="55" xfId="0" applyNumberFormat="1" applyFont="1" applyFill="1" applyBorder="1" applyAlignment="1">
      <x:alignment vertical="center"/>
    </x:xf>
    <x:xf numFmtId="201" fontId="45" fillId="15" borderId="85" xfId="0" applyNumberFormat="1" applyFont="1" applyFill="1" applyBorder="1" applyAlignment="1">
      <x:alignment vertical="center"/>
    </x:xf>
    <x:xf numFmtId="201" fontId="40" fillId="16" borderId="74" xfId="0" applyNumberFormat="1" applyFont="1" applyFill="1" applyBorder="1" applyAlignment="1">
      <x:alignment horizontal="right" vertical="center" wrapText="1"/>
    </x:xf>
    <x:xf numFmtId="201" fontId="37" fillId="16" borderId="45" xfId="0" applyNumberFormat="1" applyFont="1" applyFill="1" applyBorder="1" applyAlignment="1">
      <x:alignment vertical="center"/>
    </x:xf>
    <x:xf numFmtId="201" fontId="40" fillId="16" borderId="77" xfId="0" applyNumberFormat="1" applyFont="1" applyFill="1" applyBorder="1" applyAlignment="1">
      <x:alignment horizontal="right" vertical="center" wrapText="1"/>
    </x:xf>
    <x:xf numFmtId="10" fontId="44" fillId="11" borderId="51" xfId="0" applyNumberFormat="1" applyFont="1" applyFill="1" applyBorder="1" applyAlignment="1">
      <x:alignment horizontal="right" vertical="center"/>
    </x:xf>
    <x:xf numFmtId="164" fontId="44" fillId="11" borderId="52" xfId="0" applyNumberFormat="1" applyFont="1" applyFill="1" applyBorder="1" applyAlignment="1">
      <x:alignment horizontal="right" vertical="center"/>
    </x:xf>
    <x:xf numFmtId="10" fontId="44" fillId="11" borderId="54" xfId="0" applyNumberFormat="1" applyFont="1" applyFill="1" applyBorder="1" applyAlignment="1">
      <x:alignment horizontal="right" vertical="center"/>
    </x:xf>
    <x:xf numFmtId="164" fontId="44" fillId="11" borderId="55" xfId="0" applyNumberFormat="1" applyFont="1" applyFill="1" applyBorder="1" applyAlignment="1">
      <x:alignment horizontal="right" vertical="center"/>
    </x:xf>
    <x:xf numFmtId="202" fontId="44" fillId="11" borderId="51" xfId="0" applyNumberFormat="1" applyFont="1" applyFill="1" applyBorder="1" applyAlignment="1">
      <x:alignment horizontal="right" vertical="center"/>
    </x:xf>
    <x:xf numFmtId="202" fontId="44" fillId="11" borderId="54" xfId="0" applyNumberFormat="1" applyFont="1" applyFill="1" applyBorder="1" applyAlignment="1">
      <x:alignment horizontal="right" vertical="center"/>
    </x:xf>
    <x:xf numFmtId="201" fontId="44" fillId="11" borderId="52" xfId="0" applyNumberFormat="1" applyFont="1" applyFill="1" applyBorder="1" applyAlignment="1">
      <x:alignment horizontal="right" vertical="center"/>
    </x:xf>
    <x:xf numFmtId="201" fontId="44" fillId="11" borderId="55" xfId="0" applyNumberFormat="1" applyFont="1" applyFill="1" applyBorder="1" applyAlignment="1">
      <x:alignment horizontal="right" vertical="center"/>
    </x:xf>
    <x:xf numFmtId="0" fontId="40" fillId="10" borderId="0" xfId="0" applyNumberFormat="1" applyFont="1" applyFill="1" applyBorder="1"/>
    <x:xf numFmtId="4" fontId="40" fillId="10" borderId="66" xfId="0" applyNumberFormat="1" applyFont="1" applyFill="1" applyBorder="1" applyAlignment="1">
      <x:alignment horizontal="right" vertical="center" wrapText="1"/>
    </x:xf>
    <x:xf numFmtId="0" fontId="40" fillId="10" borderId="67" xfId="0" applyNumberFormat="1" applyFont="1" applyFill="1" applyBorder="1"/>
    <x:xf numFmtId="0" fontId="40" fillId="10" borderId="68" xfId="0" applyNumberFormat="1" applyFont="1" applyFill="1" applyBorder="1"/>
    <x:xf numFmtId="0" fontId="40" fillId="10" borderId="69" xfId="0" applyNumberFormat="1" applyFont="1" applyFill="1" applyBorder="1"/>
    <x:xf numFmtId="0" fontId="40" fillId="10" borderId="67" xfId="0" applyNumberFormat="1" applyFont="1" applyFill="1" applyBorder="1" applyAlignment="1">
      <x:alignment vertical="center"/>
    </x:xf>
    <x:xf numFmtId="0" fontId="40" fillId="10" borderId="68" xfId="0" applyNumberFormat="1" applyFont="1" applyFill="1" applyBorder="1" applyAlignment="1">
      <x:alignment vertical="center"/>
    </x:xf>
    <x:xf numFmtId="0" fontId="40" fillId="10" borderId="69" xfId="0" applyNumberFormat="1" applyFont="1" applyFill="1" applyBorder="1" applyAlignment="1">
      <x:alignment vertical="center"/>
    </x:xf>
    <x:xf numFmtId="0" fontId="40" fillId="10" borderId="5" xfId="0" applyNumberFormat="1" applyFont="1" applyFill="1" applyBorder="1"/>
    <x:xf numFmtId="4" fontId="40" fillId="10" borderId="74" xfId="0" applyNumberFormat="1" applyFont="1" applyFill="1" applyBorder="1" applyAlignment="1">
      <x:alignment horizontal="right" vertical="center" wrapText="1"/>
    </x:xf>
    <x:xf numFmtId="0" fontId="40" fillId="10" borderId="75" xfId="0" applyNumberFormat="1" applyFont="1" applyFill="1" applyBorder="1"/>
    <x:xf numFmtId="0" fontId="40" fillId="10" borderId="76" xfId="0" applyNumberFormat="1" applyFont="1" applyFill="1" applyBorder="1"/>
    <x:xf numFmtId="0" fontId="40" fillId="10" borderId="77" xfId="0" applyNumberFormat="1" applyFont="1" applyFill="1" applyBorder="1"/>
    <x:xf numFmtId="0" fontId="40" fillId="10" borderId="75" xfId="0" applyNumberFormat="1" applyFont="1" applyFill="1" applyBorder="1" applyAlignment="1">
      <x:alignment vertical="center"/>
    </x:xf>
    <x:xf numFmtId="0" fontId="40" fillId="10" borderId="76" xfId="0" applyNumberFormat="1" applyFont="1" applyFill="1" applyBorder="1" applyAlignment="1">
      <x:alignment vertical="center"/>
    </x:xf>
    <x:xf numFmtId="0" fontId="40" fillId="10" borderId="77" xfId="0" applyNumberFormat="1" applyFont="1" applyFill="1" applyBorder="1" applyAlignment="1">
      <x:alignment vertical="center"/>
    </x:xf>
    <x:xf numFmtId="4" fontId="40" fillId="17" borderId="66" xfId="0" applyNumberFormat="1" applyFont="1" applyFill="1" applyBorder="1" applyAlignment="1">
      <x:alignment horizontal="right" vertical="center" wrapText="1"/>
    </x:xf>
    <x:xf numFmtId="4" fontId="40" fillId="17" borderId="74" xfId="0" applyNumberFormat="1" applyFont="1" applyFill="1" applyBorder="1" applyAlignment="1">
      <x:alignment horizontal="right" vertical="center" wrapText="1"/>
    </x:xf>
    <x:xf numFmtId="200" fontId="40" fillId="10" borderId="68" xfId="0" applyNumberFormat="1" applyFont="1" applyFill="1" applyBorder="1" applyAlignment="1">
      <x:alignment vertical="center"/>
    </x:xf>
    <x:xf numFmtId="200" fontId="40" fillId="10" borderId="76" xfId="0" applyNumberFormat="1" applyFont="1" applyFill="1" applyBorder="1" applyAlignment="1">
      <x:alignment vertical="center"/>
    </x:xf>
    <x:xf numFmtId="201" fontId="40" fillId="10" borderId="68" xfId="0" applyNumberFormat="1" applyFont="1" applyFill="1" applyBorder="1" applyAlignment="1">
      <x:alignment vertical="center"/>
    </x:xf>
    <x:xf numFmtId="201" fontId="40" fillId="10" borderId="76" xfId="0" applyNumberFormat="1" applyFont="1" applyFill="1" applyBorder="1" applyAlignment="1">
      <x:alignment vertical="center"/>
    </x:xf>
    <x:xf numFmtId="201" fontId="40" fillId="10" borderId="66" xfId="0" applyNumberFormat="1" applyFont="1" applyFill="1" applyBorder="1" applyAlignment="1">
      <x:alignment horizontal="right" vertical="center" wrapText="1"/>
    </x:xf>
    <x:xf numFmtId="201" fontId="40" fillId="17" borderId="66" xfId="0" applyNumberFormat="1" applyFont="1" applyFill="1" applyBorder="1" applyAlignment="1">
      <x:alignment horizontal="right" vertical="center" wrapText="1"/>
    </x:xf>
    <x:xf numFmtId="201" fontId="40" fillId="10" borderId="69" xfId="0" applyNumberFormat="1" applyFont="1" applyFill="1" applyBorder="1" applyAlignment="1">
      <x:alignment vertical="center"/>
    </x:xf>
    <x:xf numFmtId="201" fontId="40" fillId="10" borderId="74" xfId="0" applyNumberFormat="1" applyFont="1" applyFill="1" applyBorder="1" applyAlignment="1">
      <x:alignment horizontal="right" vertical="center" wrapText="1"/>
    </x:xf>
    <x:xf numFmtId="201" fontId="40" fillId="17" borderId="74" xfId="0" applyNumberFormat="1" applyFont="1" applyFill="1" applyBorder="1" applyAlignment="1">
      <x:alignment horizontal="right" vertical="center" wrapText="1"/>
    </x:xf>
    <x:xf numFmtId="201" fontId="40" fillId="10" borderId="77" xfId="0" applyNumberFormat="1" applyFont="1" applyFill="1" applyBorder="1" applyAlignment="1">
      <x:alignment vertical="center"/>
    </x:xf>
    <x:xf numFmtId="0" fontId="53" fillId="15" borderId="0" xfId="0" applyNumberFormat="1" applyFont="1" applyFill="1" applyBorder="1" applyAlignment="1">
      <x:alignment horizontal="left" vertical="center" wrapText="1"/>
    </x:xf>
    <x:xf numFmtId="0" fontId="53" fillId="15" borderId="5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0" fillId="10" borderId="5" xfId="0" applyNumberFormat="1" applyFont="1" applyFill="1" applyBorder="1"/>
    <x:xf numFmtId="0" fontId="54" fillId="10" borderId="0" xfId="0" applyNumberFormat="1" applyFont="1" applyFill="1" applyBorder="1"/>
    <x:xf numFmtId="0" fontId="54" fillId="10" borderId="5" xfId="0" applyNumberFormat="1" applyFont="1" applyFill="1" applyBorder="1"/>
    <x:xf numFmtId="0" fontId="54" fillId="11" borderId="0" xfId="0" applyNumberFormat="1" applyFont="1" applyFill="1" applyBorder="1"/>
    <x:xf numFmtId="0" fontId="55" fillId="11" borderId="0" xfId="0" applyNumberFormat="1" applyFont="1" applyFill="1" applyBorder="1"/>
    <x:xf numFmtId="0" fontId="55" fillId="11" borderId="0" xfId="0" applyNumberFormat="1" applyFont="1" applyFill="1" applyBorder="1" applyAlignment="1">
      <x:alignment horizontal="center"/>
    </x:xf>
    <x:xf numFmtId="0" fontId="55" fillId="11" borderId="0" xfId="0" applyNumberFormat="1" applyFont="1" applyFill="1" applyBorder="1" applyAlignment="1">
      <x:alignment horizontal="center" vertical="center"/>
    </x:xf>
    <x:xf numFmtId="0" fontId="54" fillId="11" borderId="5" xfId="0" applyNumberFormat="1" applyFont="1" applyFill="1" applyBorder="1"/>
    <x:xf numFmtId="0" fontId="55" fillId="11" borderId="5" xfId="0" applyNumberFormat="1" applyFont="1" applyFill="1" applyBorder="1"/>
    <x:xf numFmtId="0" fontId="55" fillId="11" borderId="5" xfId="0" applyNumberFormat="1" applyFont="1" applyFill="1" applyBorder="1" applyAlignment="1">
      <x:alignment horizontal="center"/>
    </x:xf>
    <x:xf numFmtId="0" fontId="55" fillId="11" borderId="5" xfId="0" applyNumberFormat="1" applyFont="1" applyFill="1" applyBorder="1" applyAlignment="1">
      <x:alignment horizontal="center" vertical="center"/>
    </x:xf>
    <x:xf numFmtId="0" fontId="54" fillId="12" borderId="0" xfId="0" applyNumberFormat="1" applyFont="1" applyFill="1" applyBorder="1"/>
    <x:xf numFmtId="0" fontId="51" fillId="12" borderId="0" xfId="0" applyNumberFormat="1" applyFont="1" applyFill="1" applyBorder="1"/>
    <x:xf numFmtId="0" fontId="51" fillId="12" borderId="0" xfId="0" applyNumberFormat="1" applyFont="1" applyFill="1" applyBorder="1" applyAlignment="1">
      <x:alignment horizontal="center"/>
    </x:xf>
    <x:xf numFmtId="0" fontId="51" fillId="12" borderId="0" xfId="0" applyNumberFormat="1" applyFont="1" applyFill="1" applyBorder="1" applyAlignment="1">
      <x:alignment horizontal="center" vertical="center"/>
    </x:xf>
    <x:xf numFmtId="0" fontId="54" fillId="12" borderId="5" xfId="0" applyNumberFormat="1" applyFont="1" applyFill="1" applyBorder="1"/>
    <x:xf numFmtId="0" fontId="51" fillId="12" borderId="5" xfId="0" applyNumberFormat="1" applyFont="1" applyFill="1" applyBorder="1"/>
    <x:xf numFmtId="0" fontId="51" fillId="12" borderId="5" xfId="0" applyNumberFormat="1" applyFont="1" applyFill="1" applyBorder="1" applyAlignment="1">
      <x:alignment horizontal="center"/>
    </x:xf>
    <x:xf numFmtId="0" fontId="51" fillId="12" borderId="5" xfId="0" applyNumberFormat="1" applyFont="1" applyFill="1" applyBorder="1" applyAlignment="1">
      <x:alignment horizontal="center" vertical="center"/>
    </x:xf>
    <x:xf numFmtId="0" fontId="54" fillId="14" borderId="0" xfId="0" applyNumberFormat="1" applyFont="1" applyFill="1" applyBorder="1"/>
    <x:xf numFmtId="0" fontId="39" fillId="14" borderId="0" xfId="0" applyNumberFormat="1" applyFont="1" applyFill="1" applyBorder="1"/>
    <x:xf numFmtId="0" fontId="39" fillId="14" borderId="56" xfId="0" applyNumberFormat="1" applyFont="1" applyFill="1" applyBorder="1"/>
    <x:xf numFmtId="0" fontId="39" fillId="14" borderId="57" xfId="0" applyNumberFormat="1" applyFont="1" applyFill="1" applyBorder="1"/>
    <x:xf numFmtId="0" fontId="39" fillId="14" borderId="58" xfId="0" applyNumberFormat="1" applyFont="1" applyFill="1" applyBorder="1"/>
    <x:xf numFmtId="0" fontId="39" fillId="14" borderId="56" xfId="0" applyNumberFormat="1" applyFont="1" applyFill="1" applyBorder="1" applyAlignment="1">
      <x:alignment horizontal="center"/>
    </x:xf>
    <x:xf numFmtId="0" fontId="39" fillId="14" borderId="57" xfId="0" applyNumberFormat="1" applyFont="1" applyFill="1" applyBorder="1" applyAlignment="1">
      <x:alignment horizontal="center"/>
    </x:xf>
    <x:xf numFmtId="0" fontId="39" fillId="14" borderId="58" xfId="0" applyNumberFormat="1" applyFont="1" applyFill="1" applyBorder="1" applyAlignment="1">
      <x:alignment horizontal="center"/>
    </x:xf>
    <x:xf numFmtId="0" fontId="39" fillId="14" borderId="56" xfId="0" applyNumberFormat="1" applyFont="1" applyFill="1" applyBorder="1" applyAlignment="1">
      <x:alignment horizontal="center" vertical="center"/>
    </x:xf>
    <x:xf numFmtId="0" fontId="39" fillId="14" borderId="57" xfId="0" applyNumberFormat="1" applyFont="1" applyFill="1" applyBorder="1" applyAlignment="1">
      <x:alignment horizontal="center" vertical="center"/>
    </x:xf>
    <x:xf numFmtId="0" fontId="39" fillId="14" borderId="58" xfId="0" applyNumberFormat="1" applyFont="1" applyFill="1" applyBorder="1" applyAlignment="1">
      <x:alignment horizontal="center" vertical="center"/>
    </x:xf>
    <x:xf numFmtId="0" fontId="54" fillId="14" borderId="5" xfId="0" applyNumberFormat="1" applyFont="1" applyFill="1" applyBorder="1"/>
    <x:xf numFmtId="0" fontId="39" fillId="14" borderId="5" xfId="0" applyNumberFormat="1" applyFont="1" applyFill="1" applyBorder="1"/>
    <x:xf numFmtId="0" fontId="39" fillId="14" borderId="59" xfId="0" applyNumberFormat="1" applyFont="1" applyFill="1" applyBorder="1"/>
    <x:xf numFmtId="0" fontId="39" fillId="14" borderId="60" xfId="0" applyNumberFormat="1" applyFont="1" applyFill="1" applyBorder="1"/>
    <x:xf numFmtId="0" fontId="39" fillId="14" borderId="61" xfId="0" applyNumberFormat="1" applyFont="1" applyFill="1" applyBorder="1"/>
    <x:xf numFmtId="0" fontId="39" fillId="14" borderId="59" xfId="0" applyNumberFormat="1" applyFont="1" applyFill="1" applyBorder="1" applyAlignment="1">
      <x:alignment horizontal="center"/>
    </x:xf>
    <x:xf numFmtId="0" fontId="39" fillId="14" borderId="60" xfId="0" applyNumberFormat="1" applyFont="1" applyFill="1" applyBorder="1" applyAlignment="1">
      <x:alignment horizontal="center"/>
    </x:xf>
    <x:xf numFmtId="0" fontId="39" fillId="14" borderId="61" xfId="0" applyNumberFormat="1" applyFont="1" applyFill="1" applyBorder="1" applyAlignment="1">
      <x:alignment horizontal="center"/>
    </x:xf>
    <x:xf numFmtId="0" fontId="39" fillId="14" borderId="59" xfId="0" applyNumberFormat="1" applyFont="1" applyFill="1" applyBorder="1" applyAlignment="1">
      <x:alignment horizontal="center" vertical="center"/>
    </x:xf>
    <x:xf numFmtId="0" fontId="39" fillId="14" borderId="60" xfId="0" applyNumberFormat="1" applyFont="1" applyFill="1" applyBorder="1" applyAlignment="1">
      <x:alignment horizontal="center" vertical="center"/>
    </x:xf>
    <x:xf numFmtId="0" fontId="39" fillId="14" borderId="61" xfId="0" applyNumberFormat="1" applyFont="1" applyFill="1" applyBorder="1" applyAlignment="1">
      <x:alignment horizontal="center" vertical="center"/>
    </x:xf>
    <x:xf numFmtId="0" fontId="54" fillId="17" borderId="0" xfId="0" applyNumberFormat="1" applyFont="1" applyFill="1" applyBorder="1"/>
    <x:xf numFmtId="0" fontId="56" fillId="17" borderId="0" xfId="0" applyNumberFormat="1" applyFont="1" applyFill="1" applyBorder="1"/>
    <x:xf numFmtId="0" fontId="56" fillId="17" borderId="92" xfId="0" applyNumberFormat="1" applyFont="1" applyFill="1" applyBorder="1"/>
    <x:xf numFmtId="0" fontId="56" fillId="17" borderId="93" xfId="0" applyNumberFormat="1" applyFont="1" applyFill="1" applyBorder="1"/>
    <x:xf numFmtId="0" fontId="56" fillId="17" borderId="94" xfId="0" applyNumberFormat="1" applyFont="1" applyFill="1" applyBorder="1"/>
    <x:xf numFmtId="0" fontId="56" fillId="17" borderId="95" xfId="0" applyNumberFormat="1" applyFont="1" applyFill="1" applyBorder="1"/>
    <x:xf numFmtId="0" fontId="56" fillId="17" borderId="96" xfId="0" applyNumberFormat="1" applyFont="1" applyFill="1" applyBorder="1"/>
    <x:xf numFmtId="0" fontId="56" fillId="17" borderId="97" xfId="0" applyNumberFormat="1" applyFont="1" applyFill="1" applyBorder="1"/>
    <x:xf numFmtId="0" fontId="56" fillId="17" borderId="98" xfId="0" applyNumberFormat="1" applyFont="1" applyFill="1" applyBorder="1"/>
    <x:xf numFmtId="0" fontId="56" fillId="17" borderId="99" xfId="0" applyNumberFormat="1" applyFont="1" applyFill="1" applyBorder="1"/>
    <x:xf numFmtId="201" fontId="56" fillId="17" borderId="92" xfId="0" applyNumberFormat="1" applyFont="1" applyFill="1" applyBorder="1"/>
    <x:xf numFmtId="201" fontId="56" fillId="17" borderId="93" xfId="0" applyNumberFormat="1" applyFont="1" applyFill="1" applyBorder="1"/>
    <x:xf numFmtId="201" fontId="56" fillId="17" borderId="94" xfId="0" applyNumberFormat="1" applyFont="1" applyFill="1" applyBorder="1"/>
    <x:xf numFmtId="201" fontId="56" fillId="17" borderId="95" xfId="0" applyNumberFormat="1" applyFont="1" applyFill="1" applyBorder="1"/>
    <x:xf numFmtId="201" fontId="56" fillId="17" borderId="0" xfId="0" applyNumberFormat="1" applyFont="1" applyFill="1" applyBorder="1"/>
    <x:xf numFmtId="201" fontId="56" fillId="17" borderId="96" xfId="0" applyNumberFormat="1" applyFont="1" applyFill="1" applyBorder="1"/>
    <x:xf numFmtId="201" fontId="56" fillId="17" borderId="97" xfId="0" applyNumberFormat="1" applyFont="1" applyFill="1" applyBorder="1"/>
    <x:xf numFmtId="201" fontId="56" fillId="17" borderId="98" xfId="0" applyNumberFormat="1" applyFont="1" applyFill="1" applyBorder="1"/>
    <x:xf numFmtId="201" fontId="56" fillId="17" borderId="99" xfId="0" applyNumberFormat="1" applyFont="1" applyFill="1" applyBorder="1"/>
    <x:xf numFmtId="201" fontId="56" fillId="17" borderId="92" xfId="0" applyNumberFormat="1" applyFont="1" applyFill="1" applyBorder="1" applyAlignment="1">
      <x:alignment horizontal="center"/>
    </x:xf>
    <x:xf numFmtId="201" fontId="56" fillId="17" borderId="93" xfId="0" applyNumberFormat="1" applyFont="1" applyFill="1" applyBorder="1" applyAlignment="1">
      <x:alignment horizontal="center"/>
    </x:xf>
    <x:xf numFmtId="201" fontId="56" fillId="17" borderId="94" xfId="0" applyNumberFormat="1" applyFont="1" applyFill="1" applyBorder="1" applyAlignment="1">
      <x:alignment horizontal="center"/>
    </x:xf>
    <x:xf numFmtId="201" fontId="56" fillId="17" borderId="95" xfId="0" applyNumberFormat="1" applyFont="1" applyFill="1" applyBorder="1" applyAlignment="1">
      <x:alignment horizontal="center"/>
    </x:xf>
    <x:xf numFmtId="201" fontId="56" fillId="17" borderId="0" xfId="0" applyNumberFormat="1" applyFont="1" applyFill="1" applyBorder="1" applyAlignment="1">
      <x:alignment horizontal="center"/>
    </x:xf>
    <x:xf numFmtId="201" fontId="56" fillId="17" borderId="96" xfId="0" applyNumberFormat="1" applyFont="1" applyFill="1" applyBorder="1" applyAlignment="1">
      <x:alignment horizontal="center"/>
    </x:xf>
    <x:xf numFmtId="201" fontId="56" fillId="17" borderId="97" xfId="0" applyNumberFormat="1" applyFont="1" applyFill="1" applyBorder="1" applyAlignment="1">
      <x:alignment horizontal="center"/>
    </x:xf>
    <x:xf numFmtId="201" fontId="56" fillId="17" borderId="98" xfId="0" applyNumberFormat="1" applyFont="1" applyFill="1" applyBorder="1" applyAlignment="1">
      <x:alignment horizontal="center"/>
    </x:xf>
    <x:xf numFmtId="201" fontId="56" fillId="17" borderId="99" xfId="0" applyNumberFormat="1" applyFont="1" applyFill="1" applyBorder="1" applyAlignment="1">
      <x:alignment horizontal="center"/>
    </x:xf>
    <x:xf numFmtId="201" fontId="56" fillId="17" borderId="92" xfId="0" applyNumberFormat="1" applyFont="1" applyFill="1" applyBorder="1" applyAlignment="1">
      <x:alignment horizontal="center" vertical="center"/>
    </x:xf>
    <x:xf numFmtId="201" fontId="56" fillId="17" borderId="93" xfId="0" applyNumberFormat="1" applyFont="1" applyFill="1" applyBorder="1" applyAlignment="1">
      <x:alignment horizontal="center" vertical="center"/>
    </x:xf>
    <x:xf numFmtId="201" fontId="56" fillId="17" borderId="94" xfId="0" applyNumberFormat="1" applyFont="1" applyFill="1" applyBorder="1" applyAlignment="1">
      <x:alignment horizontal="center" vertical="center"/>
    </x:xf>
    <x:xf numFmtId="201" fontId="56" fillId="17" borderId="95" xfId="0" applyNumberFormat="1" applyFont="1" applyFill="1" applyBorder="1" applyAlignment="1">
      <x:alignment horizontal="center" vertical="center"/>
    </x:xf>
    <x:xf numFmtId="201" fontId="56" fillId="17" borderId="0" xfId="0" applyNumberFormat="1" applyFont="1" applyFill="1" applyBorder="1" applyAlignment="1">
      <x:alignment horizontal="center" vertical="center"/>
    </x:xf>
    <x:xf numFmtId="201" fontId="56" fillId="17" borderId="96" xfId="0" applyNumberFormat="1" applyFont="1" applyFill="1" applyBorder="1" applyAlignment="1">
      <x:alignment horizontal="center" vertical="center"/>
    </x:xf>
    <x:xf numFmtId="201" fontId="56" fillId="17" borderId="97" xfId="0" applyNumberFormat="1" applyFont="1" applyFill="1" applyBorder="1" applyAlignment="1">
      <x:alignment horizontal="center" vertical="center"/>
    </x:xf>
    <x:xf numFmtId="201" fontId="56" fillId="17" borderId="98" xfId="0" applyNumberFormat="1" applyFont="1" applyFill="1" applyBorder="1" applyAlignment="1">
      <x:alignment horizontal="center" vertical="center"/>
    </x:xf>
    <x:xf numFmtId="201" fontId="56" fillId="17" borderId="99" xfId="0" applyNumberFormat="1" applyFont="1" applyFill="1" applyBorder="1" applyAlignment="1">
      <x:alignment horizontal="center" vertical="center"/>
    </x:xf>
    <x:xf numFmtId="0" fontId="54" fillId="17" borderId="5" xfId="0" applyNumberFormat="1" applyFont="1" applyFill="1" applyBorder="1"/>
    <x:xf numFmtId="0" fontId="56" fillId="17" borderId="5" xfId="0" applyNumberFormat="1" applyFont="1" applyFill="1" applyBorder="1"/>
    <x:xf numFmtId="0" fontId="56" fillId="17" borderId="100" xfId="0" applyNumberFormat="1" applyFont="1" applyFill="1" applyBorder="1"/>
    <x:xf numFmtId="0" fontId="56" fillId="17" borderId="101" xfId="0" applyNumberFormat="1" applyFont="1" applyFill="1" applyBorder="1"/>
    <x:xf numFmtId="0" fontId="56" fillId="17" borderId="102" xfId="0" applyNumberFormat="1" applyFont="1" applyFill="1" applyBorder="1"/>
    <x:xf numFmtId="0" fontId="56" fillId="17" borderId="103" xfId="0" applyNumberFormat="1" applyFont="1" applyFill="1" applyBorder="1"/>
    <x:xf numFmtId="0" fontId="56" fillId="17" borderId="104" xfId="0" applyNumberFormat="1" applyFont="1" applyFill="1" applyBorder="1"/>
    <x:xf numFmtId="0" fontId="56" fillId="17" borderId="105" xfId="0" applyNumberFormat="1" applyFont="1" applyFill="1" applyBorder="1"/>
    <x:xf numFmtId="0" fontId="56" fillId="17" borderId="106" xfId="0" applyNumberFormat="1" applyFont="1" applyFill="1" applyBorder="1"/>
    <x:xf numFmtId="0" fontId="56" fillId="17" borderId="107" xfId="0" applyNumberFormat="1" applyFont="1" applyFill="1" applyBorder="1"/>
    <x:xf numFmtId="201" fontId="56" fillId="17" borderId="100" xfId="0" applyNumberFormat="1" applyFont="1" applyFill="1" applyBorder="1"/>
    <x:xf numFmtId="201" fontId="56" fillId="17" borderId="101" xfId="0" applyNumberFormat="1" applyFont="1" applyFill="1" applyBorder="1"/>
    <x:xf numFmtId="201" fontId="56" fillId="17" borderId="102" xfId="0" applyNumberFormat="1" applyFont="1" applyFill="1" applyBorder="1"/>
    <x:xf numFmtId="201" fontId="56" fillId="17" borderId="103" xfId="0" applyNumberFormat="1" applyFont="1" applyFill="1" applyBorder="1"/>
    <x:xf numFmtId="201" fontId="56" fillId="17" borderId="5" xfId="0" applyNumberFormat="1" applyFont="1" applyFill="1" applyBorder="1"/>
    <x:xf numFmtId="201" fontId="56" fillId="17" borderId="104" xfId="0" applyNumberFormat="1" applyFont="1" applyFill="1" applyBorder="1"/>
    <x:xf numFmtId="201" fontId="56" fillId="17" borderId="105" xfId="0" applyNumberFormat="1" applyFont="1" applyFill="1" applyBorder="1"/>
    <x:xf numFmtId="201" fontId="56" fillId="17" borderId="106" xfId="0" applyNumberFormat="1" applyFont="1" applyFill="1" applyBorder="1"/>
    <x:xf numFmtId="201" fontId="56" fillId="17" borderId="107" xfId="0" applyNumberFormat="1" applyFont="1" applyFill="1" applyBorder="1"/>
    <x:xf numFmtId="201" fontId="56" fillId="17" borderId="100" xfId="0" applyNumberFormat="1" applyFont="1" applyFill="1" applyBorder="1" applyAlignment="1">
      <x:alignment horizontal="center"/>
    </x:xf>
    <x:xf numFmtId="201" fontId="56" fillId="17" borderId="101" xfId="0" applyNumberFormat="1" applyFont="1" applyFill="1" applyBorder="1" applyAlignment="1">
      <x:alignment horizontal="center"/>
    </x:xf>
    <x:xf numFmtId="201" fontId="56" fillId="17" borderId="102" xfId="0" applyNumberFormat="1" applyFont="1" applyFill="1" applyBorder="1" applyAlignment="1">
      <x:alignment horizontal="center"/>
    </x:xf>
    <x:xf numFmtId="201" fontId="56" fillId="17" borderId="103" xfId="0" applyNumberFormat="1" applyFont="1" applyFill="1" applyBorder="1" applyAlignment="1">
      <x:alignment horizontal="center"/>
    </x:xf>
    <x:xf numFmtId="201" fontId="56" fillId="17" borderId="5" xfId="0" applyNumberFormat="1" applyFont="1" applyFill="1" applyBorder="1" applyAlignment="1">
      <x:alignment horizontal="center"/>
    </x:xf>
    <x:xf numFmtId="201" fontId="56" fillId="17" borderId="104" xfId="0" applyNumberFormat="1" applyFont="1" applyFill="1" applyBorder="1" applyAlignment="1">
      <x:alignment horizontal="center"/>
    </x:xf>
    <x:xf numFmtId="201" fontId="56" fillId="17" borderId="105" xfId="0" applyNumberFormat="1" applyFont="1" applyFill="1" applyBorder="1" applyAlignment="1">
      <x:alignment horizontal="center"/>
    </x:xf>
    <x:xf numFmtId="201" fontId="56" fillId="17" borderId="106" xfId="0" applyNumberFormat="1" applyFont="1" applyFill="1" applyBorder="1" applyAlignment="1">
      <x:alignment horizontal="center"/>
    </x:xf>
    <x:xf numFmtId="201" fontId="56" fillId="17" borderId="107" xfId="0" applyNumberFormat="1" applyFont="1" applyFill="1" applyBorder="1" applyAlignment="1">
      <x:alignment horizontal="center"/>
    </x:xf>
    <x:xf numFmtId="201" fontId="56" fillId="17" borderId="100" xfId="0" applyNumberFormat="1" applyFont="1" applyFill="1" applyBorder="1" applyAlignment="1">
      <x:alignment horizontal="center" vertical="center"/>
    </x:xf>
    <x:xf numFmtId="201" fontId="56" fillId="17" borderId="101" xfId="0" applyNumberFormat="1" applyFont="1" applyFill="1" applyBorder="1" applyAlignment="1">
      <x:alignment horizontal="center" vertical="center"/>
    </x:xf>
    <x:xf numFmtId="201" fontId="56" fillId="17" borderId="102" xfId="0" applyNumberFormat="1" applyFont="1" applyFill="1" applyBorder="1" applyAlignment="1">
      <x:alignment horizontal="center" vertical="center"/>
    </x:xf>
    <x:xf numFmtId="201" fontId="56" fillId="17" borderId="103" xfId="0" applyNumberFormat="1" applyFont="1" applyFill="1" applyBorder="1" applyAlignment="1">
      <x:alignment horizontal="center" vertical="center"/>
    </x:xf>
    <x:xf numFmtId="201" fontId="56" fillId="17" borderId="5" xfId="0" applyNumberFormat="1" applyFont="1" applyFill="1" applyBorder="1" applyAlignment="1">
      <x:alignment horizontal="center" vertical="center"/>
    </x:xf>
    <x:xf numFmtId="201" fontId="56" fillId="17" borderId="104" xfId="0" applyNumberFormat="1" applyFont="1" applyFill="1" applyBorder="1" applyAlignment="1">
      <x:alignment horizontal="center" vertical="center"/>
    </x:xf>
    <x:xf numFmtId="201" fontId="56" fillId="17" borderId="105" xfId="0" applyNumberFormat="1" applyFont="1" applyFill="1" applyBorder="1" applyAlignment="1">
      <x:alignment horizontal="center" vertical="center"/>
    </x:xf>
    <x:xf numFmtId="201" fontId="56" fillId="17" borderId="106" xfId="0" applyNumberFormat="1" applyFont="1" applyFill="1" applyBorder="1" applyAlignment="1">
      <x:alignment horizontal="center" vertical="center"/>
    </x:xf>
    <x:xf numFmtId="201" fontId="56" fillId="17" borderId="107" xfId="0" applyNumberFormat="1" applyFont="1" applyFill="1" applyBorder="1" applyAlignment="1">
      <x:alignment horizontal="center" vertical="center"/>
    </x:xf>
    <x:xf numFmtId="0" fontId="54" fillId="13" borderId="0" xfId="0" applyNumberFormat="1" applyFont="1" applyFill="1" applyBorder="1"/>
    <x:xf numFmtId="0" fontId="37" fillId="13" borderId="0" xfId="0" applyNumberFormat="1" applyFont="1" applyFill="1" applyBorder="1"/>
    <x:xf numFmtId="0" fontId="37" fillId="13" borderId="36" xfId="0" applyNumberFormat="1" applyFont="1" applyFill="1" applyBorder="1"/>
    <x:xf numFmtId="0" fontId="37" fillId="13" borderId="42" xfId="0" applyNumberFormat="1" applyFont="1" applyFill="1" applyBorder="1"/>
    <x:xf numFmtId="0" fontId="37" fillId="13" borderId="43" xfId="0" applyNumberFormat="1" applyFont="1" applyFill="1" applyBorder="1"/>
    <x:xf numFmtId="0" fontId="37" fillId="13" borderId="36" xfId="0" applyNumberFormat="1" applyFont="1" applyFill="1" applyBorder="1" applyAlignment="1">
      <x:alignment horizontal="center"/>
    </x:xf>
    <x:xf numFmtId="0" fontId="37" fillId="13" borderId="42" xfId="0" applyNumberFormat="1" applyFont="1" applyFill="1" applyBorder="1" applyAlignment="1">
      <x:alignment horizontal="center"/>
    </x:xf>
    <x:xf numFmtId="0" fontId="37" fillId="13" borderId="43" xfId="0" applyNumberFormat="1" applyFont="1" applyFill="1" applyBorder="1" applyAlignment="1">
      <x:alignment horizontal="center"/>
    </x:xf>
    <x:xf numFmtId="0" fontId="54" fillId="13" borderId="5" xfId="0" applyNumberFormat="1" applyFont="1" applyFill="1" applyBorder="1"/>
    <x:xf numFmtId="0" fontId="37" fillId="13" borderId="5" xfId="0" applyNumberFormat="1" applyFont="1" applyFill="1" applyBorder="1"/>
    <x:xf numFmtId="0" fontId="37" fillId="13" borderId="39" xfId="0" applyNumberFormat="1" applyFont="1" applyFill="1" applyBorder="1"/>
    <x:xf numFmtId="0" fontId="37" fillId="13" borderId="44" xfId="0" applyNumberFormat="1" applyFont="1" applyFill="1" applyBorder="1"/>
    <x:xf numFmtId="0" fontId="37" fillId="13" borderId="45" xfId="0" applyNumberFormat="1" applyFont="1" applyFill="1" applyBorder="1"/>
    <x:xf numFmtId="0" fontId="37" fillId="13" borderId="39" xfId="0" applyNumberFormat="1" applyFont="1" applyFill="1" applyBorder="1" applyAlignment="1">
      <x:alignment horizontal="center"/>
    </x:xf>
    <x:xf numFmtId="0" fontId="37" fillId="13" borderId="44" xfId="0" applyNumberFormat="1" applyFont="1" applyFill="1" applyBorder="1" applyAlignment="1">
      <x:alignment horizontal="center"/>
    </x:xf>
    <x:xf numFmtId="0" fontId="37" fillId="13" borderId="45" xfId="0" applyNumberFormat="1" applyFont="1" applyFill="1" applyBorder="1" applyAlignment="1">
      <x:alignment horizontal="center"/>
    </x:xf>
    <x:xf numFmtId="0" fontId="57" fillId="10" borderId="0" xfId="0" applyNumberFormat="1" applyFont="1" applyFill="1" applyBorder="1"/>
    <x:xf numFmtId="0" fontId="57" fillId="10" borderId="92" xfId="0" applyNumberFormat="1" applyFont="1" applyFill="1" applyBorder="1"/>
    <x:xf numFmtId="0" fontId="57" fillId="10" borderId="93" xfId="0" applyNumberFormat="1" applyFont="1" applyFill="1" applyBorder="1"/>
    <x:xf numFmtId="0" fontId="57" fillId="10" borderId="94" xfId="0" applyNumberFormat="1" applyFont="1" applyFill="1" applyBorder="1"/>
    <x:xf numFmtId="0" fontId="57" fillId="10" borderId="95" xfId="0" applyNumberFormat="1" applyFont="1" applyFill="1" applyBorder="1"/>
    <x:xf numFmtId="0" fontId="57" fillId="10" borderId="96" xfId="0" applyNumberFormat="1" applyFont="1" applyFill="1" applyBorder="1"/>
    <x:xf numFmtId="0" fontId="57" fillId="10" borderId="97" xfId="0" applyNumberFormat="1" applyFont="1" applyFill="1" applyBorder="1"/>
    <x:xf numFmtId="0" fontId="57" fillId="10" borderId="98" xfId="0" applyNumberFormat="1" applyFont="1" applyFill="1" applyBorder="1"/>
    <x:xf numFmtId="0" fontId="57" fillId="10" borderId="99" xfId="0" applyNumberFormat="1" applyFont="1" applyFill="1" applyBorder="1"/>
    <x:xf numFmtId="202" fontId="57" fillId="10" borderId="92" xfId="0" applyNumberFormat="1" applyFont="1" applyFill="1" applyBorder="1"/>
    <x:xf numFmtId="202" fontId="57" fillId="10" borderId="93" xfId="0" applyNumberFormat="1" applyFont="1" applyFill="1" applyBorder="1"/>
    <x:xf numFmtId="202" fontId="57" fillId="10" borderId="94" xfId="0" applyNumberFormat="1" applyFont="1" applyFill="1" applyBorder="1"/>
    <x:xf numFmtId="202" fontId="57" fillId="10" borderId="95" xfId="0" applyNumberFormat="1" applyFont="1" applyFill="1" applyBorder="1"/>
    <x:xf numFmtId="202" fontId="57" fillId="10" borderId="0" xfId="0" applyNumberFormat="1" applyFont="1" applyFill="1" applyBorder="1"/>
    <x:xf numFmtId="202" fontId="57" fillId="10" borderId="96" xfId="0" applyNumberFormat="1" applyFont="1" applyFill="1" applyBorder="1"/>
    <x:xf numFmtId="202" fontId="57" fillId="10" borderId="97" xfId="0" applyNumberFormat="1" applyFont="1" applyFill="1" applyBorder="1"/>
    <x:xf numFmtId="202" fontId="57" fillId="10" borderId="98" xfId="0" applyNumberFormat="1" applyFont="1" applyFill="1" applyBorder="1"/>
    <x:xf numFmtId="202" fontId="57" fillId="10" borderId="99" xfId="0" applyNumberFormat="1" applyFont="1" applyFill="1" applyBorder="1"/>
    <x:xf numFmtId="202" fontId="57" fillId="10" borderId="92" xfId="0" applyNumberFormat="1" applyFont="1" applyFill="1" applyBorder="1" applyAlignment="1">
      <x:alignment horizontal="center"/>
    </x:xf>
    <x:xf numFmtId="202" fontId="57" fillId="10" borderId="93" xfId="0" applyNumberFormat="1" applyFont="1" applyFill="1" applyBorder="1" applyAlignment="1">
      <x:alignment horizontal="center"/>
    </x:xf>
    <x:xf numFmtId="202" fontId="57" fillId="10" borderId="94" xfId="0" applyNumberFormat="1" applyFont="1" applyFill="1" applyBorder="1" applyAlignment="1">
      <x:alignment horizontal="center"/>
    </x:xf>
    <x:xf numFmtId="202" fontId="57" fillId="10" borderId="95" xfId="0" applyNumberFormat="1" applyFont="1" applyFill="1" applyBorder="1" applyAlignment="1">
      <x:alignment horizontal="center"/>
    </x:xf>
    <x:xf numFmtId="202" fontId="57" fillId="10" borderId="0" xfId="0" applyNumberFormat="1" applyFont="1" applyFill="1" applyBorder="1" applyAlignment="1">
      <x:alignment horizontal="center"/>
    </x:xf>
    <x:xf numFmtId="202" fontId="57" fillId="10" borderId="96" xfId="0" applyNumberFormat="1" applyFont="1" applyFill="1" applyBorder="1" applyAlignment="1">
      <x:alignment horizontal="center"/>
    </x:xf>
    <x:xf numFmtId="202" fontId="57" fillId="10" borderId="97" xfId="0" applyNumberFormat="1" applyFont="1" applyFill="1" applyBorder="1" applyAlignment="1">
      <x:alignment horizontal="center"/>
    </x:xf>
    <x:xf numFmtId="202" fontId="57" fillId="10" borderId="98" xfId="0" applyNumberFormat="1" applyFont="1" applyFill="1" applyBorder="1" applyAlignment="1">
      <x:alignment horizontal="center"/>
    </x:xf>
    <x:xf numFmtId="202" fontId="57" fillId="10" borderId="99" xfId="0" applyNumberFormat="1" applyFont="1" applyFill="1" applyBorder="1" applyAlignment="1">
      <x:alignment horizontal="center"/>
    </x:xf>
    <x:xf numFmtId="202" fontId="57" fillId="10" borderId="92" xfId="0" applyNumberFormat="1" applyFont="1" applyFill="1" applyBorder="1" applyAlignment="1">
      <x:alignment horizontal="center" vertical="center"/>
    </x:xf>
    <x:xf numFmtId="202" fontId="57" fillId="10" borderId="93" xfId="0" applyNumberFormat="1" applyFont="1" applyFill="1" applyBorder="1" applyAlignment="1">
      <x:alignment horizontal="center" vertical="center"/>
    </x:xf>
    <x:xf numFmtId="202" fontId="57" fillId="10" borderId="94" xfId="0" applyNumberFormat="1" applyFont="1" applyFill="1" applyBorder="1" applyAlignment="1">
      <x:alignment horizontal="center" vertical="center"/>
    </x:xf>
    <x:xf numFmtId="202" fontId="57" fillId="10" borderId="95" xfId="0" applyNumberFormat="1" applyFont="1" applyFill="1" applyBorder="1" applyAlignment="1">
      <x:alignment horizontal="center" vertical="center"/>
    </x:xf>
    <x:xf numFmtId="202" fontId="57" fillId="10" borderId="0" xfId="0" applyNumberFormat="1" applyFont="1" applyFill="1" applyBorder="1" applyAlignment="1">
      <x:alignment horizontal="center" vertical="center"/>
    </x:xf>
    <x:xf numFmtId="202" fontId="57" fillId="10" borderId="96" xfId="0" applyNumberFormat="1" applyFont="1" applyFill="1" applyBorder="1" applyAlignment="1">
      <x:alignment horizontal="center" vertical="center"/>
    </x:xf>
    <x:xf numFmtId="202" fontId="57" fillId="10" borderId="97" xfId="0" applyNumberFormat="1" applyFont="1" applyFill="1" applyBorder="1" applyAlignment="1">
      <x:alignment horizontal="center" vertical="center"/>
    </x:xf>
    <x:xf numFmtId="202" fontId="57" fillId="10" borderId="98" xfId="0" applyNumberFormat="1" applyFont="1" applyFill="1" applyBorder="1" applyAlignment="1">
      <x:alignment horizontal="center" vertical="center"/>
    </x:xf>
    <x:xf numFmtId="202" fontId="57" fillId="10" borderId="99" xfId="0" applyNumberFormat="1" applyFont="1" applyFill="1" applyBorder="1" applyAlignment="1">
      <x:alignment horizontal="center" vertical="center"/>
    </x:xf>
    <x:xf numFmtId="0" fontId="57" fillId="10" borderId="5" xfId="0" applyNumberFormat="1" applyFont="1" applyFill="1" applyBorder="1"/>
    <x:xf numFmtId="0" fontId="57" fillId="10" borderId="100" xfId="0" applyNumberFormat="1" applyFont="1" applyFill="1" applyBorder="1"/>
    <x:xf numFmtId="0" fontId="57" fillId="10" borderId="101" xfId="0" applyNumberFormat="1" applyFont="1" applyFill="1" applyBorder="1"/>
    <x:xf numFmtId="0" fontId="57" fillId="10" borderId="102" xfId="0" applyNumberFormat="1" applyFont="1" applyFill="1" applyBorder="1"/>
    <x:xf numFmtId="0" fontId="57" fillId="10" borderId="103" xfId="0" applyNumberFormat="1" applyFont="1" applyFill="1" applyBorder="1"/>
    <x:xf numFmtId="0" fontId="57" fillId="10" borderId="104" xfId="0" applyNumberFormat="1" applyFont="1" applyFill="1" applyBorder="1"/>
    <x:xf numFmtId="0" fontId="57" fillId="10" borderId="105" xfId="0" applyNumberFormat="1" applyFont="1" applyFill="1" applyBorder="1"/>
    <x:xf numFmtId="0" fontId="57" fillId="10" borderId="106" xfId="0" applyNumberFormat="1" applyFont="1" applyFill="1" applyBorder="1"/>
    <x:xf numFmtId="0" fontId="57" fillId="10" borderId="107" xfId="0" applyNumberFormat="1" applyFont="1" applyFill="1" applyBorder="1"/>
    <x:xf numFmtId="202" fontId="57" fillId="10" borderId="100" xfId="0" applyNumberFormat="1" applyFont="1" applyFill="1" applyBorder="1"/>
    <x:xf numFmtId="202" fontId="57" fillId="10" borderId="101" xfId="0" applyNumberFormat="1" applyFont="1" applyFill="1" applyBorder="1"/>
    <x:xf numFmtId="202" fontId="57" fillId="10" borderId="102" xfId="0" applyNumberFormat="1" applyFont="1" applyFill="1" applyBorder="1"/>
    <x:xf numFmtId="202" fontId="57" fillId="10" borderId="103" xfId="0" applyNumberFormat="1" applyFont="1" applyFill="1" applyBorder="1"/>
    <x:xf numFmtId="202" fontId="57" fillId="10" borderId="5" xfId="0" applyNumberFormat="1" applyFont="1" applyFill="1" applyBorder="1"/>
    <x:xf numFmtId="202" fontId="57" fillId="10" borderId="104" xfId="0" applyNumberFormat="1" applyFont="1" applyFill="1" applyBorder="1"/>
    <x:xf numFmtId="202" fontId="57" fillId="10" borderId="105" xfId="0" applyNumberFormat="1" applyFont="1" applyFill="1" applyBorder="1"/>
    <x:xf numFmtId="202" fontId="57" fillId="10" borderId="106" xfId="0" applyNumberFormat="1" applyFont="1" applyFill="1" applyBorder="1"/>
    <x:xf numFmtId="202" fontId="57" fillId="10" borderId="107" xfId="0" applyNumberFormat="1" applyFont="1" applyFill="1" applyBorder="1"/>
    <x:xf numFmtId="202" fontId="57" fillId="10" borderId="100" xfId="0" applyNumberFormat="1" applyFont="1" applyFill="1" applyBorder="1" applyAlignment="1">
      <x:alignment horizontal="center"/>
    </x:xf>
    <x:xf numFmtId="202" fontId="57" fillId="10" borderId="101" xfId="0" applyNumberFormat="1" applyFont="1" applyFill="1" applyBorder="1" applyAlignment="1">
      <x:alignment horizontal="center"/>
    </x:xf>
    <x:xf numFmtId="202" fontId="57" fillId="10" borderId="102" xfId="0" applyNumberFormat="1" applyFont="1" applyFill="1" applyBorder="1" applyAlignment="1">
      <x:alignment horizontal="center"/>
    </x:xf>
    <x:xf numFmtId="202" fontId="57" fillId="10" borderId="103" xfId="0" applyNumberFormat="1" applyFont="1" applyFill="1" applyBorder="1" applyAlignment="1">
      <x:alignment horizontal="center"/>
    </x:xf>
    <x:xf numFmtId="202" fontId="57" fillId="10" borderId="5" xfId="0" applyNumberFormat="1" applyFont="1" applyFill="1" applyBorder="1" applyAlignment="1">
      <x:alignment horizontal="center"/>
    </x:xf>
    <x:xf numFmtId="202" fontId="57" fillId="10" borderId="104" xfId="0" applyNumberFormat="1" applyFont="1" applyFill="1" applyBorder="1" applyAlignment="1">
      <x:alignment horizontal="center"/>
    </x:xf>
    <x:xf numFmtId="202" fontId="57" fillId="10" borderId="105" xfId="0" applyNumberFormat="1" applyFont="1" applyFill="1" applyBorder="1" applyAlignment="1">
      <x:alignment horizontal="center"/>
    </x:xf>
    <x:xf numFmtId="202" fontId="57" fillId="10" borderId="106" xfId="0" applyNumberFormat="1" applyFont="1" applyFill="1" applyBorder="1" applyAlignment="1">
      <x:alignment horizontal="center"/>
    </x:xf>
    <x:xf numFmtId="202" fontId="57" fillId="10" borderId="107" xfId="0" applyNumberFormat="1" applyFont="1" applyFill="1" applyBorder="1" applyAlignment="1">
      <x:alignment horizontal="center"/>
    </x:xf>
    <x:xf numFmtId="202" fontId="57" fillId="10" borderId="100" xfId="0" applyNumberFormat="1" applyFont="1" applyFill="1" applyBorder="1" applyAlignment="1">
      <x:alignment horizontal="center" vertical="center"/>
    </x:xf>
    <x:xf numFmtId="202" fontId="57" fillId="10" borderId="101" xfId="0" applyNumberFormat="1" applyFont="1" applyFill="1" applyBorder="1" applyAlignment="1">
      <x:alignment horizontal="center" vertical="center"/>
    </x:xf>
    <x:xf numFmtId="202" fontId="57" fillId="10" borderId="102" xfId="0" applyNumberFormat="1" applyFont="1" applyFill="1" applyBorder="1" applyAlignment="1">
      <x:alignment horizontal="center" vertical="center"/>
    </x:xf>
    <x:xf numFmtId="202" fontId="57" fillId="10" borderId="103" xfId="0" applyNumberFormat="1" applyFont="1" applyFill="1" applyBorder="1" applyAlignment="1">
      <x:alignment horizontal="center" vertical="center"/>
    </x:xf>
    <x:xf numFmtId="202" fontId="57" fillId="10" borderId="5" xfId="0" applyNumberFormat="1" applyFont="1" applyFill="1" applyBorder="1" applyAlignment="1">
      <x:alignment horizontal="center" vertical="center"/>
    </x:xf>
    <x:xf numFmtId="202" fontId="57" fillId="10" borderId="104" xfId="0" applyNumberFormat="1" applyFont="1" applyFill="1" applyBorder="1" applyAlignment="1">
      <x:alignment horizontal="center" vertical="center"/>
    </x:xf>
    <x:xf numFmtId="202" fontId="57" fillId="10" borderId="105" xfId="0" applyNumberFormat="1" applyFont="1" applyFill="1" applyBorder="1" applyAlignment="1">
      <x:alignment horizontal="center" vertical="center"/>
    </x:xf>
    <x:xf numFmtId="202" fontId="57" fillId="10" borderId="106" xfId="0" applyNumberFormat="1" applyFont="1" applyFill="1" applyBorder="1" applyAlignment="1">
      <x:alignment horizontal="center" vertical="center"/>
    </x:xf>
    <x:xf numFmtId="202" fontId="57" fillId="10" borderId="107" xfId="0" applyNumberFormat="1" applyFont="1" applyFill="1" applyBorder="1" applyAlignment="1">
      <x:alignment horizontal="center" vertical="center"/>
    </x:xf>
    <x:xf numFmtId="203" fontId="57" fillId="10" borderId="92" xfId="0" applyNumberFormat="1" applyFont="1" applyFill="1" applyBorder="1"/>
    <x:xf numFmtId="203" fontId="57" fillId="10" borderId="93" xfId="0" applyNumberFormat="1" applyFont="1" applyFill="1" applyBorder="1"/>
    <x:xf numFmtId="203" fontId="57" fillId="10" borderId="94" xfId="0" applyNumberFormat="1" applyFont="1" applyFill="1" applyBorder="1"/>
    <x:xf numFmtId="203" fontId="57" fillId="10" borderId="95" xfId="0" applyNumberFormat="1" applyFont="1" applyFill="1" applyBorder="1"/>
    <x:xf numFmtId="203" fontId="57" fillId="10" borderId="0" xfId="0" applyNumberFormat="1" applyFont="1" applyFill="1" applyBorder="1"/>
    <x:xf numFmtId="203" fontId="57" fillId="10" borderId="96" xfId="0" applyNumberFormat="1" applyFont="1" applyFill="1" applyBorder="1"/>
    <x:xf numFmtId="203" fontId="57" fillId="10" borderId="97" xfId="0" applyNumberFormat="1" applyFont="1" applyFill="1" applyBorder="1"/>
    <x:xf numFmtId="203" fontId="57" fillId="10" borderId="98" xfId="0" applyNumberFormat="1" applyFont="1" applyFill="1" applyBorder="1"/>
    <x:xf numFmtId="203" fontId="57" fillId="10" borderId="99" xfId="0" applyNumberFormat="1" applyFont="1" applyFill="1" applyBorder="1"/>
    <x:xf numFmtId="203" fontId="57" fillId="10" borderId="92" xfId="0" applyNumberFormat="1" applyFont="1" applyFill="1" applyBorder="1" applyAlignment="1">
      <x:alignment horizontal="center"/>
    </x:xf>
    <x:xf numFmtId="203" fontId="57" fillId="10" borderId="93" xfId="0" applyNumberFormat="1" applyFont="1" applyFill="1" applyBorder="1" applyAlignment="1">
      <x:alignment horizontal="center"/>
    </x:xf>
    <x:xf numFmtId="203" fontId="57" fillId="10" borderId="94" xfId="0" applyNumberFormat="1" applyFont="1" applyFill="1" applyBorder="1" applyAlignment="1">
      <x:alignment horizontal="center"/>
    </x:xf>
    <x:xf numFmtId="203" fontId="57" fillId="10" borderId="95" xfId="0" applyNumberFormat="1" applyFont="1" applyFill="1" applyBorder="1" applyAlignment="1">
      <x:alignment horizontal="center"/>
    </x:xf>
    <x:xf numFmtId="203" fontId="57" fillId="10" borderId="0" xfId="0" applyNumberFormat="1" applyFont="1" applyFill="1" applyBorder="1" applyAlignment="1">
      <x:alignment horizontal="center"/>
    </x:xf>
    <x:xf numFmtId="203" fontId="57" fillId="10" borderId="96" xfId="0" applyNumberFormat="1" applyFont="1" applyFill="1" applyBorder="1" applyAlignment="1">
      <x:alignment horizontal="center"/>
    </x:xf>
    <x:xf numFmtId="203" fontId="57" fillId="10" borderId="97" xfId="0" applyNumberFormat="1" applyFont="1" applyFill="1" applyBorder="1" applyAlignment="1">
      <x:alignment horizontal="center"/>
    </x:xf>
    <x:xf numFmtId="203" fontId="57" fillId="10" borderId="98" xfId="0" applyNumberFormat="1" applyFont="1" applyFill="1" applyBorder="1" applyAlignment="1">
      <x:alignment horizontal="center"/>
    </x:xf>
    <x:xf numFmtId="203" fontId="57" fillId="10" borderId="99" xfId="0" applyNumberFormat="1" applyFont="1" applyFill="1" applyBorder="1" applyAlignment="1">
      <x:alignment horizontal="center"/>
    </x:xf>
    <x:xf numFmtId="203" fontId="57" fillId="10" borderId="92" xfId="0" applyNumberFormat="1" applyFont="1" applyFill="1" applyBorder="1" applyAlignment="1">
      <x:alignment horizontal="center" vertical="center"/>
    </x:xf>
    <x:xf numFmtId="203" fontId="57" fillId="10" borderId="93" xfId="0" applyNumberFormat="1" applyFont="1" applyFill="1" applyBorder="1" applyAlignment="1">
      <x:alignment horizontal="center" vertical="center"/>
    </x:xf>
    <x:xf numFmtId="203" fontId="57" fillId="10" borderId="94" xfId="0" applyNumberFormat="1" applyFont="1" applyFill="1" applyBorder="1" applyAlignment="1">
      <x:alignment horizontal="center" vertical="center"/>
    </x:xf>
    <x:xf numFmtId="203" fontId="57" fillId="10" borderId="95" xfId="0" applyNumberFormat="1" applyFont="1" applyFill="1" applyBorder="1" applyAlignment="1">
      <x:alignment horizontal="center" vertical="center"/>
    </x:xf>
    <x:xf numFmtId="203" fontId="57" fillId="10" borderId="0" xfId="0" applyNumberFormat="1" applyFont="1" applyFill="1" applyBorder="1" applyAlignment="1">
      <x:alignment horizontal="center" vertical="center"/>
    </x:xf>
    <x:xf numFmtId="203" fontId="57" fillId="10" borderId="96" xfId="0" applyNumberFormat="1" applyFont="1" applyFill="1" applyBorder="1" applyAlignment="1">
      <x:alignment horizontal="center" vertical="center"/>
    </x:xf>
    <x:xf numFmtId="203" fontId="57" fillId="10" borderId="97" xfId="0" applyNumberFormat="1" applyFont="1" applyFill="1" applyBorder="1" applyAlignment="1">
      <x:alignment horizontal="center" vertical="center"/>
    </x:xf>
    <x:xf numFmtId="203" fontId="57" fillId="10" borderId="98" xfId="0" applyNumberFormat="1" applyFont="1" applyFill="1" applyBorder="1" applyAlignment="1">
      <x:alignment horizontal="center" vertical="center"/>
    </x:xf>
    <x:xf numFmtId="203" fontId="57" fillId="10" borderId="99" xfId="0" applyNumberFormat="1" applyFont="1" applyFill="1" applyBorder="1" applyAlignment="1">
      <x:alignment horizontal="center" vertical="center"/>
    </x:xf>
    <x:xf numFmtId="203" fontId="57" fillId="10" borderId="100" xfId="0" applyNumberFormat="1" applyFont="1" applyFill="1" applyBorder="1"/>
    <x:xf numFmtId="203" fontId="57" fillId="10" borderId="101" xfId="0" applyNumberFormat="1" applyFont="1" applyFill="1" applyBorder="1"/>
    <x:xf numFmtId="203" fontId="57" fillId="10" borderId="102" xfId="0" applyNumberFormat="1" applyFont="1" applyFill="1" applyBorder="1"/>
    <x:xf numFmtId="203" fontId="57" fillId="10" borderId="103" xfId="0" applyNumberFormat="1" applyFont="1" applyFill="1" applyBorder="1"/>
    <x:xf numFmtId="203" fontId="57" fillId="10" borderId="5" xfId="0" applyNumberFormat="1" applyFont="1" applyFill="1" applyBorder="1"/>
    <x:xf numFmtId="203" fontId="57" fillId="10" borderId="104" xfId="0" applyNumberFormat="1" applyFont="1" applyFill="1" applyBorder="1"/>
    <x:xf numFmtId="203" fontId="57" fillId="10" borderId="105" xfId="0" applyNumberFormat="1" applyFont="1" applyFill="1" applyBorder="1"/>
    <x:xf numFmtId="203" fontId="57" fillId="10" borderId="106" xfId="0" applyNumberFormat="1" applyFont="1" applyFill="1" applyBorder="1"/>
    <x:xf numFmtId="203" fontId="57" fillId="10" borderId="107" xfId="0" applyNumberFormat="1" applyFont="1" applyFill="1" applyBorder="1"/>
    <x:xf numFmtId="203" fontId="57" fillId="10" borderId="100" xfId="0" applyNumberFormat="1" applyFont="1" applyFill="1" applyBorder="1" applyAlignment="1">
      <x:alignment horizontal="center"/>
    </x:xf>
    <x:xf numFmtId="203" fontId="57" fillId="10" borderId="101" xfId="0" applyNumberFormat="1" applyFont="1" applyFill="1" applyBorder="1" applyAlignment="1">
      <x:alignment horizontal="center"/>
    </x:xf>
    <x:xf numFmtId="203" fontId="57" fillId="10" borderId="102" xfId="0" applyNumberFormat="1" applyFont="1" applyFill="1" applyBorder="1" applyAlignment="1">
      <x:alignment horizontal="center"/>
    </x:xf>
    <x:xf numFmtId="203" fontId="57" fillId="10" borderId="103" xfId="0" applyNumberFormat="1" applyFont="1" applyFill="1" applyBorder="1" applyAlignment="1">
      <x:alignment horizontal="center"/>
    </x:xf>
    <x:xf numFmtId="203" fontId="57" fillId="10" borderId="5" xfId="0" applyNumberFormat="1" applyFont="1" applyFill="1" applyBorder="1" applyAlignment="1">
      <x:alignment horizontal="center"/>
    </x:xf>
    <x:xf numFmtId="203" fontId="57" fillId="10" borderId="104" xfId="0" applyNumberFormat="1" applyFont="1" applyFill="1" applyBorder="1" applyAlignment="1">
      <x:alignment horizontal="center"/>
    </x:xf>
    <x:xf numFmtId="203" fontId="57" fillId="10" borderId="105" xfId="0" applyNumberFormat="1" applyFont="1" applyFill="1" applyBorder="1" applyAlignment="1">
      <x:alignment horizontal="center"/>
    </x:xf>
    <x:xf numFmtId="203" fontId="57" fillId="10" borderId="106" xfId="0" applyNumberFormat="1" applyFont="1" applyFill="1" applyBorder="1" applyAlignment="1">
      <x:alignment horizontal="center"/>
    </x:xf>
    <x:xf numFmtId="203" fontId="57" fillId="10" borderId="107" xfId="0" applyNumberFormat="1" applyFont="1" applyFill="1" applyBorder="1" applyAlignment="1">
      <x:alignment horizontal="center"/>
    </x:xf>
    <x:xf numFmtId="203" fontId="57" fillId="10" borderId="100" xfId="0" applyNumberFormat="1" applyFont="1" applyFill="1" applyBorder="1" applyAlignment="1">
      <x:alignment horizontal="center" vertical="center"/>
    </x:xf>
    <x:xf numFmtId="203" fontId="57" fillId="10" borderId="101" xfId="0" applyNumberFormat="1" applyFont="1" applyFill="1" applyBorder="1" applyAlignment="1">
      <x:alignment horizontal="center" vertical="center"/>
    </x:xf>
    <x:xf numFmtId="203" fontId="57" fillId="10" borderId="102" xfId="0" applyNumberFormat="1" applyFont="1" applyFill="1" applyBorder="1" applyAlignment="1">
      <x:alignment horizontal="center" vertical="center"/>
    </x:xf>
    <x:xf numFmtId="203" fontId="57" fillId="10" borderId="103" xfId="0" applyNumberFormat="1" applyFont="1" applyFill="1" applyBorder="1" applyAlignment="1">
      <x:alignment horizontal="center" vertical="center"/>
    </x:xf>
    <x:xf numFmtId="203" fontId="57" fillId="10" borderId="5" xfId="0" applyNumberFormat="1" applyFont="1" applyFill="1" applyBorder="1" applyAlignment="1">
      <x:alignment horizontal="center" vertical="center"/>
    </x:xf>
    <x:xf numFmtId="203" fontId="57" fillId="10" borderId="104" xfId="0" applyNumberFormat="1" applyFont="1" applyFill="1" applyBorder="1" applyAlignment="1">
      <x:alignment horizontal="center" vertical="center"/>
    </x:xf>
    <x:xf numFmtId="203" fontId="57" fillId="10" borderId="105" xfId="0" applyNumberFormat="1" applyFont="1" applyFill="1" applyBorder="1" applyAlignment="1">
      <x:alignment horizontal="center" vertical="center"/>
    </x:xf>
    <x:xf numFmtId="203" fontId="57" fillId="10" borderId="106" xfId="0" applyNumberFormat="1" applyFont="1" applyFill="1" applyBorder="1" applyAlignment="1">
      <x:alignment horizontal="center" vertical="center"/>
    </x:xf>
    <x:xf numFmtId="203" fontId="57" fillId="10" borderId="107" xfId="0" applyNumberFormat="1" applyFont="1" applyFill="1" applyBorder="1" applyAlignment="1">
      <x:alignment horizontal="center" vertical="center"/>
    </x:xf>
    <x:xf numFmtId="204" fontId="57" fillId="10" borderId="92" xfId="0" applyNumberFormat="1" applyFont="1" applyFill="1" applyBorder="1"/>
    <x:xf numFmtId="204" fontId="57" fillId="10" borderId="93" xfId="0" applyNumberFormat="1" applyFont="1" applyFill="1" applyBorder="1"/>
    <x:xf numFmtId="204" fontId="57" fillId="10" borderId="94" xfId="0" applyNumberFormat="1" applyFont="1" applyFill="1" applyBorder="1"/>
    <x:xf numFmtId="204" fontId="57" fillId="10" borderId="95" xfId="0" applyNumberFormat="1" applyFont="1" applyFill="1" applyBorder="1"/>
    <x:xf numFmtId="204" fontId="57" fillId="10" borderId="0" xfId="0" applyNumberFormat="1" applyFont="1" applyFill="1" applyBorder="1"/>
    <x:xf numFmtId="204" fontId="57" fillId="10" borderId="96" xfId="0" applyNumberFormat="1" applyFont="1" applyFill="1" applyBorder="1"/>
    <x:xf numFmtId="204" fontId="57" fillId="10" borderId="97" xfId="0" applyNumberFormat="1" applyFont="1" applyFill="1" applyBorder="1"/>
    <x:xf numFmtId="204" fontId="57" fillId="10" borderId="98" xfId="0" applyNumberFormat="1" applyFont="1" applyFill="1" applyBorder="1"/>
    <x:xf numFmtId="204" fontId="57" fillId="10" borderId="99" xfId="0" applyNumberFormat="1" applyFont="1" applyFill="1" applyBorder="1"/>
    <x:xf numFmtId="204" fontId="57" fillId="10" borderId="92" xfId="0" applyNumberFormat="1" applyFont="1" applyFill="1" applyBorder="1" applyAlignment="1">
      <x:alignment horizontal="center"/>
    </x:xf>
    <x:xf numFmtId="204" fontId="57" fillId="10" borderId="93" xfId="0" applyNumberFormat="1" applyFont="1" applyFill="1" applyBorder="1" applyAlignment="1">
      <x:alignment horizontal="center"/>
    </x:xf>
    <x:xf numFmtId="204" fontId="57" fillId="10" borderId="94" xfId="0" applyNumberFormat="1" applyFont="1" applyFill="1" applyBorder="1" applyAlignment="1">
      <x:alignment horizontal="center"/>
    </x:xf>
    <x:xf numFmtId="204" fontId="57" fillId="10" borderId="95" xfId="0" applyNumberFormat="1" applyFont="1" applyFill="1" applyBorder="1" applyAlignment="1">
      <x:alignment horizontal="center"/>
    </x:xf>
    <x:xf numFmtId="204" fontId="57" fillId="10" borderId="0" xfId="0" applyNumberFormat="1" applyFont="1" applyFill="1" applyBorder="1" applyAlignment="1">
      <x:alignment horizontal="center"/>
    </x:xf>
    <x:xf numFmtId="204" fontId="57" fillId="10" borderId="96" xfId="0" applyNumberFormat="1" applyFont="1" applyFill="1" applyBorder="1" applyAlignment="1">
      <x:alignment horizontal="center"/>
    </x:xf>
    <x:xf numFmtId="204" fontId="57" fillId="10" borderId="97" xfId="0" applyNumberFormat="1" applyFont="1" applyFill="1" applyBorder="1" applyAlignment="1">
      <x:alignment horizontal="center"/>
    </x:xf>
    <x:xf numFmtId="204" fontId="57" fillId="10" borderId="98" xfId="0" applyNumberFormat="1" applyFont="1" applyFill="1" applyBorder="1" applyAlignment="1">
      <x:alignment horizontal="center"/>
    </x:xf>
    <x:xf numFmtId="204" fontId="57" fillId="10" borderId="99" xfId="0" applyNumberFormat="1" applyFont="1" applyFill="1" applyBorder="1" applyAlignment="1">
      <x:alignment horizontal="center"/>
    </x:xf>
    <x:xf numFmtId="204" fontId="57" fillId="10" borderId="92" xfId="0" applyNumberFormat="1" applyFont="1" applyFill="1" applyBorder="1" applyAlignment="1">
      <x:alignment horizontal="center" vertical="center"/>
    </x:xf>
    <x:xf numFmtId="204" fontId="57" fillId="10" borderId="93" xfId="0" applyNumberFormat="1" applyFont="1" applyFill="1" applyBorder="1" applyAlignment="1">
      <x:alignment horizontal="center" vertical="center"/>
    </x:xf>
    <x:xf numFmtId="204" fontId="57" fillId="10" borderId="94" xfId="0" applyNumberFormat="1" applyFont="1" applyFill="1" applyBorder="1" applyAlignment="1">
      <x:alignment horizontal="center" vertical="center"/>
    </x:xf>
    <x:xf numFmtId="204" fontId="57" fillId="10" borderId="95" xfId="0" applyNumberFormat="1" applyFont="1" applyFill="1" applyBorder="1" applyAlignment="1">
      <x:alignment horizontal="center" vertical="center"/>
    </x:xf>
    <x:xf numFmtId="204" fontId="57" fillId="10" borderId="0" xfId="0" applyNumberFormat="1" applyFont="1" applyFill="1" applyBorder="1" applyAlignment="1">
      <x:alignment horizontal="center" vertical="center"/>
    </x:xf>
    <x:xf numFmtId="204" fontId="57" fillId="10" borderId="96" xfId="0" applyNumberFormat="1" applyFont="1" applyFill="1" applyBorder="1" applyAlignment="1">
      <x:alignment horizontal="center" vertical="center"/>
    </x:xf>
    <x:xf numFmtId="204" fontId="57" fillId="10" borderId="97" xfId="0" applyNumberFormat="1" applyFont="1" applyFill="1" applyBorder="1" applyAlignment="1">
      <x:alignment horizontal="center" vertical="center"/>
    </x:xf>
    <x:xf numFmtId="204" fontId="57" fillId="10" borderId="98" xfId="0" applyNumberFormat="1" applyFont="1" applyFill="1" applyBorder="1" applyAlignment="1">
      <x:alignment horizontal="center" vertical="center"/>
    </x:xf>
    <x:xf numFmtId="204" fontId="57" fillId="10" borderId="99" xfId="0" applyNumberFormat="1" applyFont="1" applyFill="1" applyBorder="1" applyAlignment="1">
      <x:alignment horizontal="center" vertical="center"/>
    </x:xf>
    <x:xf numFmtId="204" fontId="57" fillId="10" borderId="100" xfId="0" applyNumberFormat="1" applyFont="1" applyFill="1" applyBorder="1"/>
    <x:xf numFmtId="204" fontId="57" fillId="10" borderId="101" xfId="0" applyNumberFormat="1" applyFont="1" applyFill="1" applyBorder="1"/>
    <x:xf numFmtId="204" fontId="57" fillId="10" borderId="102" xfId="0" applyNumberFormat="1" applyFont="1" applyFill="1" applyBorder="1"/>
    <x:xf numFmtId="204" fontId="57" fillId="10" borderId="103" xfId="0" applyNumberFormat="1" applyFont="1" applyFill="1" applyBorder="1"/>
    <x:xf numFmtId="204" fontId="57" fillId="10" borderId="5" xfId="0" applyNumberFormat="1" applyFont="1" applyFill="1" applyBorder="1"/>
    <x:xf numFmtId="204" fontId="57" fillId="10" borderId="104" xfId="0" applyNumberFormat="1" applyFont="1" applyFill="1" applyBorder="1"/>
    <x:xf numFmtId="204" fontId="57" fillId="10" borderId="105" xfId="0" applyNumberFormat="1" applyFont="1" applyFill="1" applyBorder="1"/>
    <x:xf numFmtId="204" fontId="57" fillId="10" borderId="106" xfId="0" applyNumberFormat="1" applyFont="1" applyFill="1" applyBorder="1"/>
    <x:xf numFmtId="204" fontId="57" fillId="10" borderId="107" xfId="0" applyNumberFormat="1" applyFont="1" applyFill="1" applyBorder="1"/>
    <x:xf numFmtId="204" fontId="57" fillId="10" borderId="100" xfId="0" applyNumberFormat="1" applyFont="1" applyFill="1" applyBorder="1" applyAlignment="1">
      <x:alignment horizontal="center"/>
    </x:xf>
    <x:xf numFmtId="204" fontId="57" fillId="10" borderId="101" xfId="0" applyNumberFormat="1" applyFont="1" applyFill="1" applyBorder="1" applyAlignment="1">
      <x:alignment horizontal="center"/>
    </x:xf>
    <x:xf numFmtId="204" fontId="57" fillId="10" borderId="102" xfId="0" applyNumberFormat="1" applyFont="1" applyFill="1" applyBorder="1" applyAlignment="1">
      <x:alignment horizontal="center"/>
    </x:xf>
    <x:xf numFmtId="204" fontId="57" fillId="10" borderId="103" xfId="0" applyNumberFormat="1" applyFont="1" applyFill="1" applyBorder="1" applyAlignment="1">
      <x:alignment horizontal="center"/>
    </x:xf>
    <x:xf numFmtId="204" fontId="57" fillId="10" borderId="5" xfId="0" applyNumberFormat="1" applyFont="1" applyFill="1" applyBorder="1" applyAlignment="1">
      <x:alignment horizontal="center"/>
    </x:xf>
    <x:xf numFmtId="204" fontId="57" fillId="10" borderId="104" xfId="0" applyNumberFormat="1" applyFont="1" applyFill="1" applyBorder="1" applyAlignment="1">
      <x:alignment horizontal="center"/>
    </x:xf>
    <x:xf numFmtId="204" fontId="57" fillId="10" borderId="105" xfId="0" applyNumberFormat="1" applyFont="1" applyFill="1" applyBorder="1" applyAlignment="1">
      <x:alignment horizontal="center"/>
    </x:xf>
    <x:xf numFmtId="204" fontId="57" fillId="10" borderId="106" xfId="0" applyNumberFormat="1" applyFont="1" applyFill="1" applyBorder="1" applyAlignment="1">
      <x:alignment horizontal="center"/>
    </x:xf>
    <x:xf numFmtId="204" fontId="57" fillId="10" borderId="107" xfId="0" applyNumberFormat="1" applyFont="1" applyFill="1" applyBorder="1" applyAlignment="1">
      <x:alignment horizontal="center"/>
    </x:xf>
    <x:xf numFmtId="204" fontId="57" fillId="10" borderId="100" xfId="0" applyNumberFormat="1" applyFont="1" applyFill="1" applyBorder="1" applyAlignment="1">
      <x:alignment horizontal="center" vertical="center"/>
    </x:xf>
    <x:xf numFmtId="204" fontId="57" fillId="10" borderId="101" xfId="0" applyNumberFormat="1" applyFont="1" applyFill="1" applyBorder="1" applyAlignment="1">
      <x:alignment horizontal="center" vertical="center"/>
    </x:xf>
    <x:xf numFmtId="204" fontId="57" fillId="10" borderId="102" xfId="0" applyNumberFormat="1" applyFont="1" applyFill="1" applyBorder="1" applyAlignment="1">
      <x:alignment horizontal="center" vertical="center"/>
    </x:xf>
    <x:xf numFmtId="204" fontId="57" fillId="10" borderId="103" xfId="0" applyNumberFormat="1" applyFont="1" applyFill="1" applyBorder="1" applyAlignment="1">
      <x:alignment horizontal="center" vertical="center"/>
    </x:xf>
    <x:xf numFmtId="204" fontId="57" fillId="10" borderId="5" xfId="0" applyNumberFormat="1" applyFont="1" applyFill="1" applyBorder="1" applyAlignment="1">
      <x:alignment horizontal="center" vertical="center"/>
    </x:xf>
    <x:xf numFmtId="204" fontId="57" fillId="10" borderId="104" xfId="0" applyNumberFormat="1" applyFont="1" applyFill="1" applyBorder="1" applyAlignment="1">
      <x:alignment horizontal="center" vertical="center"/>
    </x:xf>
    <x:xf numFmtId="204" fontId="57" fillId="10" borderId="105" xfId="0" applyNumberFormat="1" applyFont="1" applyFill="1" applyBorder="1" applyAlignment="1">
      <x:alignment horizontal="center" vertical="center"/>
    </x:xf>
    <x:xf numFmtId="204" fontId="57" fillId="10" borderId="106" xfId="0" applyNumberFormat="1" applyFont="1" applyFill="1" applyBorder="1" applyAlignment="1">
      <x:alignment horizontal="center" vertical="center"/>
    </x:xf>
    <x:xf numFmtId="204" fontId="57" fillId="10" borderId="107" xfId="0" applyNumberFormat="1" applyFont="1" applyFill="1" applyBorder="1" applyAlignment="1">
      <x:alignment horizontal="center" vertical="center"/>
    </x:xf>
    <x:xf numFmtId="0" fontId="54" fillId="15" borderId="0" xfId="0" applyNumberFormat="1" applyFont="1" applyFill="1" applyBorder="1"/>
    <x:xf numFmtId="0" fontId="58" fillId="15" borderId="0" xfId="0" applyNumberFormat="1" applyFont="1" applyFill="1" applyBorder="1"/>
    <x:xf numFmtId="0" fontId="58" fillId="15" borderId="86" xfId="0" applyNumberFormat="1" applyFont="1" applyFill="1" applyBorder="1"/>
    <x:xf numFmtId="0" fontId="58" fillId="15" borderId="87" xfId="0" applyNumberFormat="1" applyFont="1" applyFill="1" applyBorder="1"/>
    <x:xf numFmtId="0" fontId="58" fillId="15" borderId="88" xfId="0" applyNumberFormat="1" applyFont="1" applyFill="1" applyBorder="1"/>
    <x:xf numFmtId="0" fontId="58" fillId="15" borderId="86" xfId="0" applyNumberFormat="1" applyFont="1" applyFill="1" applyBorder="1" applyAlignment="1">
      <x:alignment wrapText="1"/>
    </x:xf>
    <x:xf numFmtId="0" fontId="58" fillId="15" borderId="87" xfId="0" applyNumberFormat="1" applyFont="1" applyFill="1" applyBorder="1" applyAlignment="1">
      <x:alignment wrapText="1"/>
    </x:xf>
    <x:xf numFmtId="0" fontId="58" fillId="15" borderId="88" xfId="0" applyNumberFormat="1" applyFont="1" applyFill="1" applyBorder="1" applyAlignment="1">
      <x:alignment wrapText="1"/>
    </x:xf>
    <x:xf numFmtId="0" fontId="58" fillId="15" borderId="86" xfId="0" applyNumberFormat="1" applyFont="1" applyFill="1" applyBorder="1" applyAlignment="1">
      <x:alignment horizontal="center" wrapText="1"/>
    </x:xf>
    <x:xf numFmtId="0" fontId="58" fillId="15" borderId="87" xfId="0" applyNumberFormat="1" applyFont="1" applyFill="1" applyBorder="1" applyAlignment="1">
      <x:alignment horizontal="center" wrapText="1"/>
    </x:xf>
    <x:xf numFmtId="0" fontId="58" fillId="15" borderId="88" xfId="0" applyNumberFormat="1" applyFont="1" applyFill="1" applyBorder="1" applyAlignment="1">
      <x:alignment horizontal="center" wrapText="1"/>
    </x:xf>
    <x:xf numFmtId="0" fontId="58" fillId="15" borderId="86" xfId="0" applyNumberFormat="1" applyFont="1" applyFill="1" applyBorder="1" applyAlignment="1">
      <x:alignment horizontal="center" vertical="center" wrapText="1"/>
    </x:xf>
    <x:xf numFmtId="0" fontId="58" fillId="15" borderId="87" xfId="0" applyNumberFormat="1" applyFont="1" applyFill="1" applyBorder="1" applyAlignment="1">
      <x:alignment horizontal="center" vertical="center" wrapText="1"/>
    </x:xf>
    <x:xf numFmtId="0" fontId="58" fillId="15" borderId="88" xfId="0" applyNumberFormat="1" applyFont="1" applyFill="1" applyBorder="1" applyAlignment="1">
      <x:alignment horizontal="center" vertical="center" wrapText="1"/>
    </x:xf>
    <x:xf numFmtId="0" fontId="54" fillId="15" borderId="5" xfId="0" applyNumberFormat="1" applyFont="1" applyFill="1" applyBorder="1"/>
    <x:xf numFmtId="0" fontId="58" fillId="15" borderId="5" xfId="0" applyNumberFormat="1" applyFont="1" applyFill="1" applyBorder="1"/>
    <x:xf numFmtId="0" fontId="58" fillId="15" borderId="89" xfId="0" applyNumberFormat="1" applyFont="1" applyFill="1" applyBorder="1"/>
    <x:xf numFmtId="0" fontId="58" fillId="15" borderId="90" xfId="0" applyNumberFormat="1" applyFont="1" applyFill="1" applyBorder="1"/>
    <x:xf numFmtId="0" fontId="58" fillId="15" borderId="91" xfId="0" applyNumberFormat="1" applyFont="1" applyFill="1" applyBorder="1"/>
    <x:xf numFmtId="0" fontId="58" fillId="15" borderId="89" xfId="0" applyNumberFormat="1" applyFont="1" applyFill="1" applyBorder="1" applyAlignment="1">
      <x:alignment wrapText="1"/>
    </x:xf>
    <x:xf numFmtId="0" fontId="58" fillId="15" borderId="90" xfId="0" applyNumberFormat="1" applyFont="1" applyFill="1" applyBorder="1" applyAlignment="1">
      <x:alignment wrapText="1"/>
    </x:xf>
    <x:xf numFmtId="0" fontId="58" fillId="15" borderId="91" xfId="0" applyNumberFormat="1" applyFont="1" applyFill="1" applyBorder="1" applyAlignment="1">
      <x:alignment wrapText="1"/>
    </x:xf>
    <x:xf numFmtId="0" fontId="58" fillId="15" borderId="89" xfId="0" applyNumberFormat="1" applyFont="1" applyFill="1" applyBorder="1" applyAlignment="1">
      <x:alignment horizontal="center" wrapText="1"/>
    </x:xf>
    <x:xf numFmtId="0" fontId="58" fillId="15" borderId="90" xfId="0" applyNumberFormat="1" applyFont="1" applyFill="1" applyBorder="1" applyAlignment="1">
      <x:alignment horizontal="center" wrapText="1"/>
    </x:xf>
    <x:xf numFmtId="0" fontId="58" fillId="15" borderId="91" xfId="0" applyNumberFormat="1" applyFont="1" applyFill="1" applyBorder="1" applyAlignment="1">
      <x:alignment horizontal="center" wrapText="1"/>
    </x:xf>
    <x:xf numFmtId="0" fontId="58" fillId="15" borderId="89" xfId="0" applyNumberFormat="1" applyFont="1" applyFill="1" applyBorder="1" applyAlignment="1">
      <x:alignment horizontal="center" vertical="center" wrapText="1"/>
    </x:xf>
    <x:xf numFmtId="0" fontId="58" fillId="15" borderId="90" xfId="0" applyNumberFormat="1" applyFont="1" applyFill="1" applyBorder="1" applyAlignment="1">
      <x:alignment horizontal="center" vertical="center" wrapText="1"/>
    </x:xf>
    <x:xf numFmtId="0" fontId="58" fillId="15" borderId="91" xfId="0" applyNumberFormat="1" applyFont="1" applyFill="1" applyBorder="1" applyAlignment="1">
      <x:alignment horizontal="center" vertical="center" wrapText="1"/>
    </x:xf>
    <x:xf numFmtId="0" fontId="48" fillId="11" borderId="0" xfId="0" applyNumberFormat="1" applyFont="1" applyFill="1" applyBorder="1"/>
    <x:xf numFmtId="0" fontId="48" fillId="11" borderId="0" xfId="0" applyNumberFormat="1" applyFont="1" applyFill="1" applyBorder="1" applyAlignment="1">
      <x:alignment vertical="center"/>
    </x:xf>
    <x:xf numFmtId="0" fontId="48" fillId="11" borderId="5" xfId="0" applyNumberFormat="1" applyFont="1" applyFill="1" applyBorder="1"/>
    <x:xf numFmtId="0" fontId="48" fillId="11" borderId="5" xfId="0" applyNumberFormat="1" applyFont="1" applyFill="1" applyBorder="1" applyAlignment="1">
      <x:alignment vertical="center"/>
    </x:xf>
    <x:xf numFmtId="0" fontId="39" fillId="14" borderId="56" xfId="0" applyNumberFormat="1" applyFont="1" applyFill="1" applyBorder="1" applyAlignment="1">
      <x:alignment wrapText="1"/>
    </x:xf>
    <x:xf numFmtId="0" fontId="39" fillId="14" borderId="57" xfId="0" applyNumberFormat="1" applyFont="1" applyFill="1" applyBorder="1" applyAlignment="1">
      <x:alignment wrapText="1"/>
    </x:xf>
    <x:xf numFmtId="0" fontId="39" fillId="14" borderId="58" xfId="0" applyNumberFormat="1" applyFont="1" applyFill="1" applyBorder="1" applyAlignment="1">
      <x:alignment wrapText="1"/>
    </x:xf>
    <x:xf numFmtId="0" fontId="39" fillId="14" borderId="56" xfId="0" applyNumberFormat="1" applyFont="1" applyFill="1" applyBorder="1" applyAlignment="1">
      <x:alignment horizontal="center" wrapText="1"/>
    </x:xf>
    <x:xf numFmtId="0" fontId="39" fillId="14" borderId="57" xfId="0" applyNumberFormat="1" applyFont="1" applyFill="1" applyBorder="1" applyAlignment="1">
      <x:alignment horizontal="center" wrapText="1"/>
    </x:xf>
    <x:xf numFmtId="0" fontId="39" fillId="14" borderId="58" xfId="0" applyNumberFormat="1" applyFont="1" applyFill="1" applyBorder="1" applyAlignment="1">
      <x:alignment horizontal="center" wrapText="1"/>
    </x:xf>
    <x:xf numFmtId="0" fontId="39" fillId="14" borderId="59" xfId="0" applyNumberFormat="1" applyFont="1" applyFill="1" applyBorder="1" applyAlignment="1">
      <x:alignment wrapText="1"/>
    </x:xf>
    <x:xf numFmtId="0" fontId="39" fillId="14" borderId="60" xfId="0" applyNumberFormat="1" applyFont="1" applyFill="1" applyBorder="1" applyAlignment="1">
      <x:alignment wrapText="1"/>
    </x:xf>
    <x:xf numFmtId="0" fontId="39" fillId="14" borderId="61" xfId="0" applyNumberFormat="1" applyFont="1" applyFill="1" applyBorder="1" applyAlignment="1">
      <x:alignment wrapText="1"/>
    </x:xf>
    <x:xf numFmtId="0" fontId="39" fillId="14" borderId="59" xfId="0" applyNumberFormat="1" applyFont="1" applyFill="1" applyBorder="1" applyAlignment="1">
      <x:alignment horizontal="center" wrapText="1"/>
    </x:xf>
    <x:xf numFmtId="0" fontId="39" fillId="14" borderId="60" xfId="0" applyNumberFormat="1" applyFont="1" applyFill="1" applyBorder="1" applyAlignment="1">
      <x:alignment horizontal="center" wrapText="1"/>
    </x:xf>
    <x:xf numFmtId="0" fontId="39" fillId="14" borderId="61" xfId="0" applyNumberFormat="1" applyFont="1" applyFill="1" applyBorder="1" applyAlignment="1">
      <x:alignment horizontal="center" wrapText="1"/>
    </x:xf>
    <x:xf numFmtId="0" fontId="40" fillId="10" borderId="108" xfId="0" applyNumberFormat="1" applyFont="1" applyFill="1" applyBorder="1"/>
    <x:xf numFmtId="0" fontId="40" fillId="10" borderId="109" xfId="0" applyNumberFormat="1" applyFont="1" applyFill="1" applyBorder="1"/>
    <x:xf numFmtId="0" fontId="40" fillId="10" borderId="110" xfId="0" applyNumberFormat="1" applyFont="1" applyFill="1" applyBorder="1"/>
    <x:xf numFmtId="0" fontId="40" fillId="10" borderId="108" xfId="0" applyNumberFormat="1" applyFont="1" applyFill="1" applyBorder="1" applyAlignment="1">
      <x:alignment vertical="center"/>
    </x:xf>
    <x:xf numFmtId="0" fontId="40" fillId="10" borderId="109" xfId="0" applyNumberFormat="1" applyFont="1" applyFill="1" applyBorder="1" applyAlignment="1">
      <x:alignment vertical="center"/>
    </x:xf>
    <x:xf numFmtId="0" fontId="40" fillId="10" borderId="110" xfId="0" applyNumberFormat="1" applyFont="1" applyFill="1" applyBorder="1" applyAlignment="1">
      <x:alignment vertical="center"/>
    </x:xf>
    <x:xf numFmtId="0" fontId="40" fillId="10" borderId="111" xfId="0" applyNumberFormat="1" applyFont="1" applyFill="1" applyBorder="1"/>
    <x:xf numFmtId="0" fontId="40" fillId="10" borderId="112" xfId="0" applyNumberFormat="1" applyFont="1" applyFill="1" applyBorder="1"/>
    <x:xf numFmtId="0" fontId="40" fillId="10" borderId="113" xfId="0" applyNumberFormat="1" applyFont="1" applyFill="1" applyBorder="1"/>
    <x:xf numFmtId="0" fontId="40" fillId="10" borderId="111" xfId="0" applyNumberFormat="1" applyFont="1" applyFill="1" applyBorder="1" applyAlignment="1">
      <x:alignment vertical="center"/>
    </x:xf>
    <x:xf numFmtId="0" fontId="40" fillId="10" borderId="112" xfId="0" applyNumberFormat="1" applyFont="1" applyFill="1" applyBorder="1" applyAlignment="1">
      <x:alignment vertical="center"/>
    </x:xf>
    <x:xf numFmtId="0" fontId="40" fillId="10" borderId="113" xfId="0" applyNumberFormat="1" applyFont="1" applyFill="1" applyBorder="1" applyAlignment="1">
      <x:alignment vertical="center"/>
    </x:xf>
    <x:xf numFmtId="0" fontId="40" fillId="10" borderId="109" xfId="0" applyNumberFormat="1" applyFont="1" applyFill="1" applyBorder="1" applyAlignment="1">
      <x:alignment vertical="center" wrapText="1"/>
    </x:xf>
    <x:xf numFmtId="0" fontId="40" fillId="10" borderId="112" xfId="0" applyNumberFormat="1" applyFont="1" applyFill="1" applyBorder="1" applyAlignment="1">
      <x:alignment vertical="center" wrapText="1"/>
    </x:xf>
    <x:xf numFmtId="201" fontId="40" fillId="10" borderId="109" xfId="0" applyNumberFormat="1" applyFont="1" applyFill="1" applyBorder="1" applyAlignment="1">
      <x:alignment vertical="center"/>
    </x:xf>
    <x:xf numFmtId="201" fontId="40" fillId="10" borderId="112" xfId="0" applyNumberFormat="1" applyFont="1" applyFill="1" applyBorder="1" applyAlignment="1">
      <x:alignment vertical="center"/>
    </x:xf>
    <x:xf numFmtId="202" fontId="40" fillId="10" borderId="110" xfId="0" applyNumberFormat="1" applyFont="1" applyFill="1" applyBorder="1" applyAlignment="1">
      <x:alignment vertical="center"/>
    </x:xf>
    <x:xf numFmtId="202" fontId="40" fillId="10" borderId="113" xfId="0" applyNumberFormat="1" applyFont="1" applyFill="1" applyBorder="1" applyAlignment="1">
      <x:alignment vertical="center"/>
    </x:xf>
    <x:xf numFmtId="0" fontId="40" fillId="17" borderId="0" xfId="0" applyNumberFormat="1" applyFont="1" applyFill="1" applyBorder="1"/>
    <x:xf numFmtId="0" fontId="40" fillId="17" borderId="108" xfId="0" applyNumberFormat="1" applyFont="1" applyFill="1" applyBorder="1"/>
    <x:xf numFmtId="0" fontId="40" fillId="17" borderId="109" xfId="0" applyNumberFormat="1" applyFont="1" applyFill="1" applyBorder="1"/>
    <x:xf numFmtId="0" fontId="40" fillId="17" borderId="110" xfId="0" applyNumberFormat="1" applyFont="1" applyFill="1" applyBorder="1"/>
    <x:xf numFmtId="0" fontId="40" fillId="17" borderId="108" xfId="0" applyNumberFormat="1" applyFont="1" applyFill="1" applyBorder="1" applyAlignment="1">
      <x:alignment vertical="center"/>
    </x:xf>
    <x:xf numFmtId="0" fontId="40" fillId="17" borderId="109" xfId="0" applyNumberFormat="1" applyFont="1" applyFill="1" applyBorder="1" applyAlignment="1">
      <x:alignment vertical="center"/>
    </x:xf>
    <x:xf numFmtId="0" fontId="40" fillId="17" borderId="110" xfId="0" applyNumberFormat="1" applyFont="1" applyFill="1" applyBorder="1" applyAlignment="1">
      <x:alignment vertical="center"/>
    </x:xf>
    <x:xf numFmtId="0" fontId="40" fillId="17" borderId="5" xfId="0" applyNumberFormat="1" applyFont="1" applyFill="1" applyBorder="1"/>
    <x:xf numFmtId="0" fontId="40" fillId="17" borderId="111" xfId="0" applyNumberFormat="1" applyFont="1" applyFill="1" applyBorder="1"/>
    <x:xf numFmtId="0" fontId="40" fillId="17" borderId="112" xfId="0" applyNumberFormat="1" applyFont="1" applyFill="1" applyBorder="1"/>
    <x:xf numFmtId="0" fontId="40" fillId="17" borderId="113" xfId="0" applyNumberFormat="1" applyFont="1" applyFill="1" applyBorder="1"/>
    <x:xf numFmtId="0" fontId="40" fillId="17" borderId="111" xfId="0" applyNumberFormat="1" applyFont="1" applyFill="1" applyBorder="1" applyAlignment="1">
      <x:alignment vertical="center"/>
    </x:xf>
    <x:xf numFmtId="0" fontId="40" fillId="17" borderId="112" xfId="0" applyNumberFormat="1" applyFont="1" applyFill="1" applyBorder="1" applyAlignment="1">
      <x:alignment vertical="center"/>
    </x:xf>
    <x:xf numFmtId="0" fontId="40" fillId="17" borderId="113" xfId="0" applyNumberFormat="1" applyFont="1" applyFill="1" applyBorder="1" applyAlignment="1">
      <x:alignment vertical="center"/>
    </x:xf>
    <x:xf numFmtId="0" fontId="40" fillId="17" borderId="109" xfId="0" applyNumberFormat="1" applyFont="1" applyFill="1" applyBorder="1" applyAlignment="1">
      <x:alignment vertical="center" wrapText="1"/>
    </x:xf>
    <x:xf numFmtId="0" fontId="40" fillId="17" borderId="112" xfId="0" applyNumberFormat="1" applyFont="1" applyFill="1" applyBorder="1" applyAlignment="1">
      <x:alignment vertical="center" wrapText="1"/>
    </x:xf>
    <x:xf numFmtId="201" fontId="40" fillId="17" borderId="109" xfId="0" applyNumberFormat="1" applyFont="1" applyFill="1" applyBorder="1" applyAlignment="1">
      <x:alignment vertical="center"/>
    </x:xf>
    <x:xf numFmtId="201" fontId="40" fillId="17" borderId="112" xfId="0" applyNumberFormat="1" applyFont="1" applyFill="1" applyBorder="1" applyAlignment="1">
      <x:alignment vertical="center"/>
    </x:xf>
    <x:xf numFmtId="202" fontId="40" fillId="17" borderId="110" xfId="0" applyNumberFormat="1" applyFont="1" applyFill="1" applyBorder="1" applyAlignment="1">
      <x:alignment vertical="center"/>
    </x:xf>
    <x:xf numFmtId="202" fontId="40" fillId="17" borderId="113" xfId="0" applyNumberFormat="1" applyFont="1" applyFill="1" applyBorder="1" applyAlignment="1">
      <x:alignment vertical="center"/>
    </x:xf>
    <x:xf numFmtId="0" fontId="53" fillId="13" borderId="0" xfId="0" applyNumberFormat="1" applyFont="1" applyFill="1" applyBorder="1"/>
    <x:xf numFmtId="0" fontId="53" fillId="13" borderId="114" xfId="0" applyNumberFormat="1" applyFont="1" applyFill="1" applyBorder="1"/>
    <x:xf numFmtId="0" fontId="53" fillId="13" borderId="115" xfId="0" applyNumberFormat="1" applyFont="1" applyFill="1" applyBorder="1"/>
    <x:xf numFmtId="0" fontId="53" fillId="13" borderId="116" xfId="0" applyNumberFormat="1" applyFont="1" applyFill="1" applyBorder="1"/>
    <x:xf numFmtId="0" fontId="53" fillId="13" borderId="117" xfId="0" applyNumberFormat="1" applyFont="1" applyFill="1" applyBorder="1"/>
    <x:xf numFmtId="0" fontId="53" fillId="13" borderId="118" xfId="0" applyNumberFormat="1" applyFont="1" applyFill="1" applyBorder="1"/>
    <x:xf numFmtId="0" fontId="53" fillId="13" borderId="119" xfId="0" applyNumberFormat="1" applyFont="1" applyFill="1" applyBorder="1"/>
    <x:xf numFmtId="0" fontId="53" fillId="13" borderId="114" xfId="0" applyNumberFormat="1" applyFont="1" applyFill="1" applyBorder="1" applyAlignment="1">
      <x:alignment wrapText="1"/>
    </x:xf>
    <x:xf numFmtId="0" fontId="53" fillId="13" borderId="115" xfId="0" applyNumberFormat="1" applyFont="1" applyFill="1" applyBorder="1" applyAlignment="1">
      <x:alignment wrapText="1"/>
    </x:xf>
    <x:xf numFmtId="0" fontId="53" fillId="13" borderId="116" xfId="0" applyNumberFormat="1" applyFont="1" applyFill="1" applyBorder="1" applyAlignment="1">
      <x:alignment wrapText="1"/>
    </x:xf>
    <x:xf numFmtId="0" fontId="53" fillId="13" borderId="117" xfId="0" applyNumberFormat="1" applyFont="1" applyFill="1" applyBorder="1" applyAlignment="1">
      <x:alignment wrapText="1"/>
    </x:xf>
    <x:xf numFmtId="0" fontId="53" fillId="13" borderId="118" xfId="0" applyNumberFormat="1" applyFont="1" applyFill="1" applyBorder="1" applyAlignment="1">
      <x:alignment wrapText="1"/>
    </x:xf>
    <x:xf numFmtId="0" fontId="53" fillId="13" borderId="119" xfId="0" applyNumberFormat="1" applyFont="1" applyFill="1" applyBorder="1" applyAlignment="1">
      <x:alignment wrapText="1"/>
    </x:xf>
    <x:xf numFmtId="0" fontId="53" fillId="13" borderId="114" xfId="0" applyNumberFormat="1" applyFont="1" applyFill="1" applyBorder="1" applyAlignment="1">
      <x:alignment horizontal="center" wrapText="1"/>
    </x:xf>
    <x:xf numFmtId="0" fontId="53" fillId="13" borderId="115" xfId="0" applyNumberFormat="1" applyFont="1" applyFill="1" applyBorder="1" applyAlignment="1">
      <x:alignment horizontal="center" wrapText="1"/>
    </x:xf>
    <x:xf numFmtId="0" fontId="53" fillId="13" borderId="116" xfId="0" applyNumberFormat="1" applyFont="1" applyFill="1" applyBorder="1" applyAlignment="1">
      <x:alignment horizontal="center" wrapText="1"/>
    </x:xf>
    <x:xf numFmtId="0" fontId="53" fillId="13" borderId="117" xfId="0" applyNumberFormat="1" applyFont="1" applyFill="1" applyBorder="1" applyAlignment="1">
      <x:alignment horizontal="center" wrapText="1"/>
    </x:xf>
    <x:xf numFmtId="0" fontId="53" fillId="13" borderId="118" xfId="0" applyNumberFormat="1" applyFont="1" applyFill="1" applyBorder="1" applyAlignment="1">
      <x:alignment horizontal="center" wrapText="1"/>
    </x:xf>
    <x:xf numFmtId="0" fontId="53" fillId="13" borderId="119" xfId="0" applyNumberFormat="1" applyFont="1" applyFill="1" applyBorder="1" applyAlignment="1">
      <x:alignment horizontal="center" wrapText="1"/>
    </x:xf>
    <x:xf numFmtId="0" fontId="53" fillId="13" borderId="114" xfId="0" applyNumberFormat="1" applyFont="1" applyFill="1" applyBorder="1" applyAlignment="1">
      <x:alignment horizontal="center" vertical="center" wrapText="1"/>
    </x:xf>
    <x:xf numFmtId="0" fontId="53" fillId="13" borderId="115" xfId="0" applyNumberFormat="1" applyFont="1" applyFill="1" applyBorder="1" applyAlignment="1">
      <x:alignment horizontal="center" vertical="center" wrapText="1"/>
    </x:xf>
    <x:xf numFmtId="0" fontId="53" fillId="13" borderId="116" xfId="0" applyNumberFormat="1" applyFont="1" applyFill="1" applyBorder="1" applyAlignment="1">
      <x:alignment horizontal="center" vertical="center" wrapText="1"/>
    </x:xf>
    <x:xf numFmtId="0" fontId="53" fillId="13" borderId="117" xfId="0" applyNumberFormat="1" applyFont="1" applyFill="1" applyBorder="1" applyAlignment="1">
      <x:alignment horizontal="center" vertical="center" wrapText="1"/>
    </x:xf>
    <x:xf numFmtId="0" fontId="53" fillId="13" borderId="118" xfId="0" applyNumberFormat="1" applyFont="1" applyFill="1" applyBorder="1" applyAlignment="1">
      <x:alignment horizontal="center" vertical="center" wrapText="1"/>
    </x:xf>
    <x:xf numFmtId="0" fontId="53" fillId="13" borderId="119" xfId="0" applyNumberFormat="1" applyFont="1" applyFill="1" applyBorder="1" applyAlignment="1">
      <x:alignment horizontal="center" vertical="center" wrapText="1"/>
    </x:xf>
    <x:xf numFmtId="0" fontId="53" fillId="13" borderId="5" xfId="0" applyNumberFormat="1" applyFont="1" applyFill="1" applyBorder="1"/>
    <x:xf numFmtId="0" fontId="53" fillId="13" borderId="120" xfId="0" applyNumberFormat="1" applyFont="1" applyFill="1" applyBorder="1"/>
    <x:xf numFmtId="0" fontId="53" fillId="13" borderId="121" xfId="0" applyNumberFormat="1" applyFont="1" applyFill="1" applyBorder="1"/>
    <x:xf numFmtId="0" fontId="53" fillId="13" borderId="122" xfId="0" applyNumberFormat="1" applyFont="1" applyFill="1" applyBorder="1"/>
    <x:xf numFmtId="0" fontId="53" fillId="13" borderId="123" xfId="0" applyNumberFormat="1" applyFont="1" applyFill="1" applyBorder="1"/>
    <x:xf numFmtId="0" fontId="53" fillId="13" borderId="124" xfId="0" applyNumberFormat="1" applyFont="1" applyFill="1" applyBorder="1"/>
    <x:xf numFmtId="0" fontId="53" fillId="13" borderId="125" xfId="0" applyNumberFormat="1" applyFont="1" applyFill="1" applyBorder="1"/>
    <x:xf numFmtId="0" fontId="53" fillId="13" borderId="120" xfId="0" applyNumberFormat="1" applyFont="1" applyFill="1" applyBorder="1" applyAlignment="1">
      <x:alignment wrapText="1"/>
    </x:xf>
    <x:xf numFmtId="0" fontId="53" fillId="13" borderId="121" xfId="0" applyNumberFormat="1" applyFont="1" applyFill="1" applyBorder="1" applyAlignment="1">
      <x:alignment wrapText="1"/>
    </x:xf>
    <x:xf numFmtId="0" fontId="53" fillId="13" borderId="122" xfId="0" applyNumberFormat="1" applyFont="1" applyFill="1" applyBorder="1" applyAlignment="1">
      <x:alignment wrapText="1"/>
    </x:xf>
    <x:xf numFmtId="0" fontId="53" fillId="13" borderId="123" xfId="0" applyNumberFormat="1" applyFont="1" applyFill="1" applyBorder="1" applyAlignment="1">
      <x:alignment wrapText="1"/>
    </x:xf>
    <x:xf numFmtId="0" fontId="53" fillId="13" borderId="124" xfId="0" applyNumberFormat="1" applyFont="1" applyFill="1" applyBorder="1" applyAlignment="1">
      <x:alignment wrapText="1"/>
    </x:xf>
    <x:xf numFmtId="0" fontId="53" fillId="13" borderId="125" xfId="0" applyNumberFormat="1" applyFont="1" applyFill="1" applyBorder="1" applyAlignment="1">
      <x:alignment wrapText="1"/>
    </x:xf>
    <x:xf numFmtId="0" fontId="53" fillId="13" borderId="120" xfId="0" applyNumberFormat="1" applyFont="1" applyFill="1" applyBorder="1" applyAlignment="1">
      <x:alignment horizontal="center" wrapText="1"/>
    </x:xf>
    <x:xf numFmtId="0" fontId="53" fillId="13" borderId="121" xfId="0" applyNumberFormat="1" applyFont="1" applyFill="1" applyBorder="1" applyAlignment="1">
      <x:alignment horizontal="center" wrapText="1"/>
    </x:xf>
    <x:xf numFmtId="0" fontId="53" fillId="13" borderId="122" xfId="0" applyNumberFormat="1" applyFont="1" applyFill="1" applyBorder="1" applyAlignment="1">
      <x:alignment horizontal="center" wrapText="1"/>
    </x:xf>
    <x:xf numFmtId="0" fontId="53" fillId="13" borderId="123" xfId="0" applyNumberFormat="1" applyFont="1" applyFill="1" applyBorder="1" applyAlignment="1">
      <x:alignment horizontal="center" wrapText="1"/>
    </x:xf>
    <x:xf numFmtId="0" fontId="53" fillId="13" borderId="124" xfId="0" applyNumberFormat="1" applyFont="1" applyFill="1" applyBorder="1" applyAlignment="1">
      <x:alignment horizontal="center" wrapText="1"/>
    </x:xf>
    <x:xf numFmtId="0" fontId="53" fillId="13" borderId="125" xfId="0" applyNumberFormat="1" applyFont="1" applyFill="1" applyBorder="1" applyAlignment="1">
      <x:alignment horizontal="center" wrapText="1"/>
    </x:xf>
    <x:xf numFmtId="0" fontId="53" fillId="13" borderId="120" xfId="0" applyNumberFormat="1" applyFont="1" applyFill="1" applyBorder="1" applyAlignment="1">
      <x:alignment horizontal="center" vertical="center" wrapText="1"/>
    </x:xf>
    <x:xf numFmtId="0" fontId="53" fillId="13" borderId="121" xfId="0" applyNumberFormat="1" applyFont="1" applyFill="1" applyBorder="1" applyAlignment="1">
      <x:alignment horizontal="center" vertical="center" wrapText="1"/>
    </x:xf>
    <x:xf numFmtId="0" fontId="53" fillId="13" borderId="122" xfId="0" applyNumberFormat="1" applyFont="1" applyFill="1" applyBorder="1" applyAlignment="1">
      <x:alignment horizontal="center" vertical="center" wrapText="1"/>
    </x:xf>
    <x:xf numFmtId="0" fontId="53" fillId="13" borderId="123" xfId="0" applyNumberFormat="1" applyFont="1" applyFill="1" applyBorder="1" applyAlignment="1">
      <x:alignment horizontal="center" vertical="center" wrapText="1"/>
    </x:xf>
    <x:xf numFmtId="0" fontId="53" fillId="13" borderId="124" xfId="0" applyNumberFormat="1" applyFont="1" applyFill="1" applyBorder="1" applyAlignment="1">
      <x:alignment horizontal="center" vertical="center" wrapText="1"/>
    </x:xf>
    <x:xf numFmtId="0" fontId="53" fillId="13" borderId="125" xfId="0" applyNumberFormat="1" applyFont="1" applyFill="1" applyBorder="1" applyAlignment="1">
      <x:alignment horizontal="center" vertical="center" wrapText="1"/>
    </x:xf>
    <x:xf numFmtId="204" fontId="40" fillId="10" borderId="108" xfId="0" applyNumberFormat="1" applyFont="1" applyFill="1" applyBorder="1" applyAlignment="1">
      <x:alignment vertical="center"/>
    </x:xf>
    <x:xf numFmtId="204" fontId="40" fillId="10" borderId="111" xfId="0" applyNumberFormat="1" applyFont="1" applyFill="1" applyBorder="1" applyAlignment="1">
      <x:alignment vertical="center"/>
    </x:xf>
    <x:xf numFmtId="204" fontId="40" fillId="17" borderId="108" xfId="0" applyNumberFormat="1" applyFont="1" applyFill="1" applyBorder="1" applyAlignment="1">
      <x:alignment vertical="center"/>
    </x:xf>
    <x:xf numFmtId="204" fontId="40" fillId="17" borderId="111" xfId="0" applyNumberFormat="1" applyFont="1" applyFill="1" applyBorder="1" applyAlignment="1">
      <x:alignment vertical="center"/>
    </x:xf>
    <x:xf numFmtId="0" fontId="37" fillId="11" borderId="26" xfId="0" applyNumberFormat="1" applyFont="1" applyFill="1" applyBorder="1" applyAlignment="1">
      <x:alignment horizontal="left" vertical="center" wrapText="1"/>
    </x:xf>
    <x:xf numFmtId="0" fontId="28" fillId="11" borderId="1" xfId="0" applyNumberFormat="1" applyFont="1" applyFill="1" applyBorder="1" applyAlignment="1">
      <x:alignment horizontal="left" vertical="center"/>
    </x:xf>
    <x:xf numFmtId="0" fontId="28" fillId="11" borderId="32" xfId="0" applyNumberFormat="1" applyFont="1" applyFill="1" applyBorder="1" applyAlignment="1">
      <x:alignment horizontal="left" vertical="center" wrapText="1"/>
    </x:xf>
    <x:xf numFmtId="0" fontId="59" fillId="11" borderId="0" xfId="0" applyNumberFormat="1" applyFont="1" applyFill="1" applyBorder="1"/>
    <x:xf numFmtId="0" fontId="59" fillId="11" borderId="26" xfId="0" applyNumberFormat="1" applyFont="1" applyFill="1" applyBorder="1" applyAlignment="1">
      <x:alignment horizontal="left" vertical="center" wrapText="1"/>
    </x:xf>
    <x:xf numFmtId="0" fontId="59" fillId="11" borderId="1" xfId="0" applyNumberFormat="1" applyFont="1" applyFill="1" applyBorder="1" applyAlignment="1">
      <x:alignment horizontal="left" vertical="center"/>
    </x:xf>
    <x:xf numFmtId="0" fontId="59" fillId="11" borderId="32" xfId="0" applyNumberFormat="1" applyFont="1" applyFill="1" applyBorder="1" applyAlignment="1">
      <x:alignment horizontal="left" vertical="center" wrapText="1"/>
    </x:xf>
    <x:xf numFmtId="0" fontId="59" fillId="11" borderId="0" xfId="0" applyNumberFormat="1" applyFont="1" applyFill="1" applyBorder="1" applyAlignment="1">
      <x:alignment horizontal="center"/>
    </x:xf>
    <x:xf numFmtId="0" fontId="59" fillId="11" borderId="26" xfId="0" applyNumberFormat="1" applyFont="1" applyFill="1" applyBorder="1" applyAlignment="1">
      <x:alignment horizontal="center" vertical="center" wrapText="1"/>
    </x:xf>
    <x:xf numFmtId="0" fontId="59" fillId="11" borderId="1" xfId="0" applyNumberFormat="1" applyFont="1" applyFill="1" applyBorder="1" applyAlignment="1">
      <x:alignment horizontal="center" vertical="center"/>
    </x:xf>
    <x:xf numFmtId="0" fontId="59" fillId="11" borderId="32" xfId="0" applyNumberFormat="1" applyFont="1" applyFill="1" applyBorder="1" applyAlignment="1">
      <x:alignment horizontal="center" vertical="center" wrapText="1"/>
    </x:xf>
    <x:xf numFmtId="0" fontId="59" fillId="11" borderId="0" xfId="0" applyNumberFormat="1" applyFont="1" applyFill="1" applyBorder="1" applyAlignment="1">
      <x:alignment horizontal="center" vertical="center"/>
    </x:xf>
    <x:xf numFmtId="0" fontId="37" fillId="11" borderId="29" xfId="0" applyNumberFormat="1" applyFont="1" applyFill="1" applyBorder="1" applyAlignment="1">
      <x:alignment horizontal="left" vertical="center" wrapText="1"/>
    </x:xf>
    <x:xf numFmtId="0" fontId="28" fillId="11" borderId="6" xfId="0" applyNumberFormat="1" applyFont="1" applyFill="1" applyBorder="1" applyAlignment="1">
      <x:alignment horizontal="left" vertical="center"/>
    </x:xf>
    <x:xf numFmtId="0" fontId="28" fillId="11" borderId="34" xfId="0" applyNumberFormat="1" applyFont="1" applyFill="1" applyBorder="1" applyAlignment="1">
      <x:alignment horizontal="left" vertical="center" wrapText="1"/>
    </x:xf>
    <x:xf numFmtId="0" fontId="59" fillId="11" borderId="5" xfId="0" applyNumberFormat="1" applyFont="1" applyFill="1" applyBorder="1"/>
    <x:xf numFmtId="0" fontId="59" fillId="11" borderId="29" xfId="0" applyNumberFormat="1" applyFont="1" applyFill="1" applyBorder="1" applyAlignment="1">
      <x:alignment horizontal="left" vertical="center" wrapText="1"/>
    </x:xf>
    <x:xf numFmtId="0" fontId="59" fillId="11" borderId="6" xfId="0" applyNumberFormat="1" applyFont="1" applyFill="1" applyBorder="1" applyAlignment="1">
      <x:alignment horizontal="left" vertical="center"/>
    </x:xf>
    <x:xf numFmtId="0" fontId="59" fillId="11" borderId="34" xfId="0" applyNumberFormat="1" applyFont="1" applyFill="1" applyBorder="1" applyAlignment="1">
      <x:alignment horizontal="left" vertical="center" wrapText="1"/>
    </x:xf>
    <x:xf numFmtId="0" fontId="59" fillId="11" borderId="5" xfId="0" applyNumberFormat="1" applyFont="1" applyFill="1" applyBorder="1" applyAlignment="1">
      <x:alignment horizontal="center"/>
    </x:xf>
    <x:xf numFmtId="0" fontId="59" fillId="11" borderId="29" xfId="0" applyNumberFormat="1" applyFont="1" applyFill="1" applyBorder="1" applyAlignment="1">
      <x:alignment horizontal="center" vertical="center" wrapText="1"/>
    </x:xf>
    <x:xf numFmtId="0" fontId="59" fillId="11" borderId="6" xfId="0" applyNumberFormat="1" applyFont="1" applyFill="1" applyBorder="1" applyAlignment="1">
      <x:alignment horizontal="center" vertical="center"/>
    </x:xf>
    <x:xf numFmtId="0" fontId="59" fillId="11" borderId="34" xfId="0" applyNumberFormat="1" applyFont="1" applyFill="1" applyBorder="1" applyAlignment="1">
      <x:alignment horizontal="center" vertical="center" wrapText="1"/>
    </x:xf>
    <x:xf numFmtId="0" fontId="59" fillId="11" borderId="5" xfId="0" applyNumberFormat="1" applyFont="1" applyFill="1" applyBorder="1" applyAlignment="1">
      <x:alignment horizontal="center" vertical="center"/>
    </x:xf>
    <x:xf numFmtId="0" fontId="37" fillId="12" borderId="27" xfId="0" applyNumberFormat="1" applyFont="1" applyFill="1" applyBorder="1" applyAlignment="1">
      <x:alignment horizontal="left" vertical="center" wrapText="1"/>
    </x:xf>
    <x:xf numFmtId="0" fontId="28" fillId="12" borderId="1" xfId="0" applyNumberFormat="1" applyFont="1" applyFill="1" applyBorder="1" applyAlignment="1">
      <x:alignment horizontal="left" vertical="center"/>
    </x:xf>
    <x:xf numFmtId="0" fontId="28" fillId="12" borderId="33" xfId="0" applyNumberFormat="1" applyFont="1" applyFill="1" applyBorder="1" applyAlignment="1">
      <x:alignment horizontal="left" vertical="center" wrapText="1"/>
    </x:xf>
    <x:xf numFmtId="0" fontId="51" fillId="12" borderId="27" xfId="0" applyNumberFormat="1" applyFont="1" applyFill="1" applyBorder="1" applyAlignment="1">
      <x:alignment horizontal="left" vertical="center" wrapText="1"/>
    </x:xf>
    <x:xf numFmtId="0" fontId="51" fillId="12" borderId="1" xfId="0" applyNumberFormat="1" applyFont="1" applyFill="1" applyBorder="1" applyAlignment="1">
      <x:alignment horizontal="left" vertical="center"/>
    </x:xf>
    <x:xf numFmtId="0" fontId="51" fillId="12" borderId="33" xfId="0" applyNumberFormat="1" applyFont="1" applyFill="1" applyBorder="1" applyAlignment="1">
      <x:alignment horizontal="left" vertical="center" wrapText="1"/>
    </x:xf>
    <x:xf numFmtId="0" fontId="51" fillId="12" borderId="27" xfId="0" applyNumberFormat="1" applyFont="1" applyFill="1" applyBorder="1" applyAlignment="1">
      <x:alignment horizontal="center" vertical="center" wrapText="1"/>
    </x:xf>
    <x:xf numFmtId="0" fontId="51" fillId="12" borderId="1" xfId="0" applyNumberFormat="1" applyFont="1" applyFill="1" applyBorder="1" applyAlignment="1">
      <x:alignment horizontal="center" vertical="center"/>
    </x:xf>
    <x:xf numFmtId="0" fontId="51" fillId="12" borderId="33" xfId="0" applyNumberFormat="1" applyFont="1" applyFill="1" applyBorder="1" applyAlignment="1">
      <x:alignment horizontal="center" vertical="center" wrapText="1"/>
    </x:xf>
    <x:xf numFmtId="0" fontId="37" fillId="12" borderId="30" xfId="0" applyNumberFormat="1" applyFont="1" applyFill="1" applyBorder="1" applyAlignment="1">
      <x:alignment horizontal="left" vertical="center" wrapText="1"/>
    </x:xf>
    <x:xf numFmtId="0" fontId="28" fillId="12" borderId="6" xfId="0" applyNumberFormat="1" applyFont="1" applyFill="1" applyBorder="1" applyAlignment="1">
      <x:alignment horizontal="left" vertical="center"/>
    </x:xf>
    <x:xf numFmtId="0" fontId="28" fillId="12" borderId="35" xfId="0" applyNumberFormat="1" applyFont="1" applyFill="1" applyBorder="1" applyAlignment="1">
      <x:alignment horizontal="left" vertical="center" wrapText="1"/>
    </x:xf>
    <x:xf numFmtId="0" fontId="51" fillId="12" borderId="30" xfId="0" applyNumberFormat="1" applyFont="1" applyFill="1" applyBorder="1" applyAlignment="1">
      <x:alignment horizontal="left" vertical="center" wrapText="1"/>
    </x:xf>
    <x:xf numFmtId="0" fontId="51" fillId="12" borderId="6" xfId="0" applyNumberFormat="1" applyFont="1" applyFill="1" applyBorder="1" applyAlignment="1">
      <x:alignment horizontal="left" vertical="center"/>
    </x:xf>
    <x:xf numFmtId="0" fontId="51" fillId="12" borderId="35" xfId="0" applyNumberFormat="1" applyFont="1" applyFill="1" applyBorder="1" applyAlignment="1">
      <x:alignment horizontal="left" vertical="center" wrapText="1"/>
    </x:xf>
    <x:xf numFmtId="0" fontId="51" fillId="12" borderId="30" xfId="0" applyNumberFormat="1" applyFont="1" applyFill="1" applyBorder="1" applyAlignment="1">
      <x:alignment horizontal="center" vertical="center" wrapText="1"/>
    </x:xf>
    <x:xf numFmtId="0" fontId="51" fillId="12" borderId="6" xfId="0" applyNumberFormat="1" applyFont="1" applyFill="1" applyBorder="1" applyAlignment="1">
      <x:alignment horizontal="center" vertical="center"/>
    </x:xf>
    <x:xf numFmtId="0" fontId="51" fillId="12" borderId="35" xfId="0" applyNumberFormat="1" applyFont="1" applyFill="1" applyBorder="1" applyAlignment="1">
      <x:alignment horizontal="center" vertical="center" wrapText="1"/>
    </x:xf>
    <x:xf numFmtId="0" fontId="27" fillId="13" borderId="0" xfId="0" applyNumberFormat="1" applyFont="1" applyFill="1" applyBorder="1"/>
    <x:xf numFmtId="0" fontId="37" fillId="13" borderId="126" xfId="0" applyNumberFormat="1" applyFont="1" applyFill="1" applyBorder="1" applyAlignment="1">
      <x:alignment horizontal="left" vertical="center" wrapText="1"/>
    </x:xf>
    <x:xf numFmtId="0" fontId="37" fillId="13" borderId="36" xfId="0" applyNumberFormat="1" applyFont="1" applyFill="1" applyBorder="1" applyAlignment="1">
      <x:alignment wrapText="1"/>
    </x:xf>
    <x:xf numFmtId="0" fontId="27" fillId="13" borderId="5" xfId="0" applyNumberFormat="1" applyFont="1" applyFill="1" applyBorder="1"/>
    <x:xf numFmtId="0" fontId="37" fillId="13" borderId="127" xfId="0" applyNumberFormat="1" applyFont="1" applyFill="1" applyBorder="1" applyAlignment="1">
      <x:alignment horizontal="left" vertical="center" wrapText="1"/>
    </x:xf>
    <x:xf numFmtId="0" fontId="37" fillId="13" borderId="39" xfId="0" applyNumberFormat="1" applyFont="1" applyFill="1" applyBorder="1" applyAlignment="1">
      <x:alignment wrapText="1"/>
    </x:xf>
    <x:xf numFmtId="0" fontId="45" fillId="10" borderId="1" xfId="0" applyNumberFormat="1" applyFont="1" applyFill="1" applyBorder="1" applyAlignment="1">
      <x:alignment horizontal="left" vertical="center"/>
    </x:xf>
    <x:xf numFmtId="0" fontId="45" fillId="10" borderId="33" xfId="0" applyNumberFormat="1" applyFont="1" applyFill="1" applyBorder="1" applyAlignment="1">
      <x:alignment horizontal="left" vertical="center" wrapText="1"/>
    </x:xf>
    <x:xf numFmtId="0" fontId="45" fillId="10" borderId="36" xfId="0" applyNumberFormat="1" applyFont="1" applyFill="1" applyBorder="1" applyAlignment="1">
      <x:alignment horizontal="left" vertical="center"/>
    </x:xf>
    <x:xf numFmtId="0" fontId="45" fillId="10" borderId="126" xfId="0" applyNumberFormat="1" applyFont="1" applyFill="1" applyBorder="1" applyAlignment="1">
      <x:alignment horizontal="left" vertical="center" wrapText="1"/>
    </x:xf>
    <x:xf numFmtId="0" fontId="45" fillId="10" borderId="36" xfId="0" applyNumberFormat="1" applyFont="1" applyFill="1" applyBorder="1" applyAlignment="1">
      <x:alignment horizontal="left" vertical="center" wrapText="1"/>
    </x:xf>
    <x:xf numFmtId="0" fontId="45" fillId="10" borderId="6" xfId="0" applyNumberFormat="1" applyFont="1" applyFill="1" applyBorder="1" applyAlignment="1">
      <x:alignment horizontal="left" vertical="center"/>
    </x:xf>
    <x:xf numFmtId="0" fontId="45" fillId="10" borderId="35" xfId="0" applyNumberFormat="1" applyFont="1" applyFill="1" applyBorder="1" applyAlignment="1">
      <x:alignment horizontal="left" vertical="center" wrapText="1"/>
    </x:xf>
    <x:xf numFmtId="0" fontId="45" fillId="10" borderId="39" xfId="0" applyNumberFormat="1" applyFont="1" applyFill="1" applyBorder="1" applyAlignment="1">
      <x:alignment horizontal="left" vertical="center"/>
    </x:xf>
    <x:xf numFmtId="0" fontId="45" fillId="10" borderId="127" xfId="0" applyNumberFormat="1" applyFont="1" applyFill="1" applyBorder="1" applyAlignment="1">
      <x:alignment horizontal="left" vertical="center" wrapText="1"/>
    </x:xf>
    <x:xf numFmtId="0" fontId="45" fillId="10" borderId="39" xfId="0" applyNumberFormat="1" applyFont="1" applyFill="1" applyBorder="1" applyAlignment="1">
      <x:alignment horizontal="left" vertical="center" wrapText="1"/>
    </x:xf>
    <x:xf numFmtId="0" fontId="45" fillId="10" borderId="28" xfId="0" applyNumberFormat="1" applyFont="1" applyFill="1" applyBorder="1" applyAlignment="1">
      <x:alignment horizontal="left" vertical="center" wrapText="1"/>
    </x:xf>
    <x:xf numFmtId="0" fontId="45" fillId="10" borderId="31" xfId="0" applyNumberFormat="1" applyFont="1" applyFill="1" applyBorder="1" applyAlignment="1">
      <x:alignment horizontal="left" vertical="center" wrapText="1"/>
    </x:xf>
    <x:xf numFmtId="0" fontId="37" fillId="13" borderId="43" xfId="0" applyNumberFormat="1" applyFont="1" applyFill="1" applyBorder="1" applyAlignment="1">
      <x:alignment wrapText="1"/>
    </x:xf>
    <x:xf numFmtId="0" fontId="37" fillId="13" borderId="43" xfId="0" applyNumberFormat="1" applyFont="1" applyFill="1" applyBorder="1" applyAlignment="1">
      <x:alignment vertical="center" wrapText="1"/>
    </x:xf>
    <x:xf numFmtId="0" fontId="37" fillId="13" borderId="45" xfId="0" applyNumberFormat="1" applyFont="1" applyFill="1" applyBorder="1" applyAlignment="1">
      <x:alignment wrapText="1"/>
    </x:xf>
    <x:xf numFmtId="0" fontId="37" fillId="13" borderId="45" xfId="0" applyNumberFormat="1" applyFont="1" applyFill="1" applyBorder="1" applyAlignment="1">
      <x:alignment vertical="center" wrapText="1"/>
    </x:xf>
    <x:xf numFmtId="0" fontId="45" fillId="10" borderId="0" xfId="0" applyNumberFormat="1" applyFont="1" applyFill="1" applyBorder="1"/>
    <x:xf numFmtId="0" fontId="45" fillId="10" borderId="36" xfId="0" applyNumberFormat="1" applyFont="1" applyFill="1" applyBorder="1"/>
    <x:xf numFmtId="0" fontId="45" fillId="10" borderId="43" xfId="0" applyNumberFormat="1" applyFont="1" applyFill="1" applyBorder="1"/>
    <x:xf numFmtId="0" fontId="45" fillId="10" borderId="36" xfId="0" applyNumberFormat="1" applyFont="1" applyFill="1" applyBorder="1" applyAlignment="1">
      <x:alignment wrapText="1"/>
    </x:xf>
    <x:xf numFmtId="0" fontId="45" fillId="10" borderId="43" xfId="0" applyNumberFormat="1" applyFont="1" applyFill="1" applyBorder="1" applyAlignment="1">
      <x:alignment wrapText="1"/>
    </x:xf>
    <x:xf numFmtId="0" fontId="45" fillId="10" borderId="5" xfId="0" applyNumberFormat="1" applyFont="1" applyFill="1" applyBorder="1"/>
    <x:xf numFmtId="0" fontId="45" fillId="10" borderId="39" xfId="0" applyNumberFormat="1" applyFont="1" applyFill="1" applyBorder="1"/>
    <x:xf numFmtId="0" fontId="45" fillId="10" borderId="45" xfId="0" applyNumberFormat="1" applyFont="1" applyFill="1" applyBorder="1"/>
    <x:xf numFmtId="0" fontId="45" fillId="10" borderId="39" xfId="0" applyNumberFormat="1" applyFont="1" applyFill="1" applyBorder="1" applyAlignment="1">
      <x:alignment wrapText="1"/>
    </x:xf>
    <x:xf numFmtId="0" fontId="45" fillId="10" borderId="45" xfId="0" applyNumberFormat="1" applyFont="1" applyFill="1" applyBorder="1" applyAlignment="1">
      <x:alignment wrapText="1"/>
    </x:xf>
    <x:xf numFmtId="0" fontId="38" fillId="13" borderId="0" xfId="0" applyNumberFormat="1" applyFont="1" applyFill="1" applyBorder="1" applyAlignment="1">
      <x:alignment horizontal="center" vertical="center"/>
    </x:xf>
    <x:xf numFmtId="0" fontId="53" fillId="13" borderId="0" xfId="0" applyNumberFormat="1" applyFont="1" applyFill="1" applyBorder="1" applyAlignment="1">
      <x:alignment horizontal="center" vertical="center"/>
    </x:xf>
    <x:xf numFmtId="0" fontId="38" fillId="13" borderId="5" xfId="0" applyNumberFormat="1" applyFont="1" applyFill="1" applyBorder="1" applyAlignment="1">
      <x:alignment horizontal="center" vertical="center"/>
    </x:xf>
    <x:xf numFmtId="0" fontId="53" fillId="13" borderId="5" xfId="0" applyNumberFormat="1" applyFont="1" applyFill="1" applyBorder="1" applyAlignment="1">
      <x:alignment horizontal="center" vertical="center"/>
    </x:xf>
    <x:xf numFmtId="0" fontId="60" fillId="0" borderId="0" xfId="0" applyNumberFormat="1" applyFont="1" applyFill="1" applyBorder="1"/>
    <x:xf numFmtId="0" fontId="6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2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left" vertical="center"/>
    </x:xf>
    <x:xf numFmtId="0" fontId="6" fillId="0" borderId="2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left" vertical="center"/>
    </x:xf>
    <x:xf numFmtId="0" fontId="10" fillId="5" borderId="0" xfId="0" applyNumberFormat="1" applyFont="1" applyFill="1" applyBorder="1" applyAlignment="1">
      <x:alignment horizontal="right" vertical="center"/>
    </x:xf>
    <x:xf numFmtId="0" fontId="11" fillId="6" borderId="0" xfId="0" applyNumberFormat="1" applyFont="1" applyFill="1" applyBorder="1" applyAlignment="1">
      <x:alignment horizontal="left" vertical="center"/>
    </x:xf>
    <x:xf numFmtId="0" fontId="12" fillId="6" borderId="0" xfId="0" applyNumberFormat="1" applyFont="1" applyFill="1" applyBorder="1" applyAlignment="1">
      <x:alignment horizontal="center" vertical="center"/>
    </x:xf>
    <x:xf numFmtId="0" fontId="13" fillId="6" borderId="0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 applyAlignment="1">
      <x:alignment horizontal="right"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horizontal="center" vertical="center" wrapText="1"/>
    </x:xf>
    <x:xf numFmtId="0" fontId="15" fillId="4" borderId="0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/>
    <x:xf numFmtId="0" fontId="17" fillId="0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4" fontId="17" fillId="0" borderId="0" xfId="0" applyNumberFormat="1" applyFont="1" applyFill="1" applyBorder="1" applyAlignment="1">
      <x:alignment horizontal="right" vertical="center" wrapText="1"/>
    </x:xf>
    <x:xf numFmtId="164" fontId="17" fillId="0" borderId="0" xfId="0" applyNumberFormat="1" applyFont="1" applyFill="1" applyBorder="1" applyAlignment="1">
      <x:alignment horizontal="right" vertical="center" wrapText="1"/>
    </x:xf>
    <x:xf numFmtId="4" fontId="17" fillId="7" borderId="0" xfId="0" applyNumberFormat="1" applyFont="1" applyFill="1" applyBorder="1" applyAlignment="1">
      <x:alignment horizontal="right" vertical="center" wrapText="1"/>
    </x:xf>
    <x:xf numFmtId="10" fontId="17" fillId="0" borderId="0" xfId="0" applyNumberFormat="1" applyFont="1" applyFill="1" applyBorder="1" applyAlignment="1">
      <x:alignment horizontal="right" vertical="center" wrapText="1"/>
    </x:xf>
    <x:xf numFmtId="0" fontId="17" fillId="8" borderId="0" xfId="0" applyNumberFormat="1" applyFont="1" applyFill="1" applyBorder="1" applyAlignment="1">
      <x:alignment horizontal="center" vertical="center" wrapText="1"/>
    </x:xf>
    <x:xf numFmtId="0" fontId="17" fillId="8" borderId="0" xfId="0" applyNumberFormat="1" applyFont="1" applyFill="1" applyBorder="1" applyAlignment="1">
      <x:alignment vertical="center" wrapText="1"/>
    </x:xf>
    <x:xf numFmtId="4" fontId="17" fillId="8" borderId="0" xfId="0" applyNumberFormat="1" applyFont="1" applyFill="1" applyBorder="1" applyAlignment="1">
      <x:alignment horizontal="right" vertical="center" wrapText="1"/>
    </x:xf>
    <x:xf numFmtId="164" fontId="17" fillId="8" borderId="0" xfId="0" applyNumberFormat="1" applyFont="1" applyFill="1" applyBorder="1" applyAlignment="1">
      <x:alignment horizontal="right" vertical="center" wrapText="1"/>
    </x:xf>
    <x:xf numFmtId="10" fontId="17" fillId="8" borderId="0" xfId="0" applyNumberFormat="1" applyFont="1" applyFill="1" applyBorder="1" applyAlignment="1">
      <x:alignment horizontal="right" vertical="center" wrapText="1"/>
    </x:xf>
    <x:xf numFmtId="0" fontId="13" fillId="6" borderId="0" xfId="0" applyNumberFormat="1" applyFont="1" applyFill="1" applyBorder="1" applyAlignment="1">
      <x:alignment horizontal="right" vertical="center"/>
    </x:xf>
    <x:xf numFmtId="164" fontId="13" fillId="6" borderId="0" xfId="0" applyNumberFormat="1" applyFont="1" applyFill="1" applyBorder="1" applyAlignment="1">
      <x:alignment horizontal="right" vertical="center"/>
    </x:xf>
    <x:xf numFmtId="10" fontId="13" fillId="6" borderId="0" xfId="0" applyNumberFormat="1" applyFont="1" applyFill="1" applyBorder="1" applyAlignment="1">
      <x:alignment horizontal="right" vertical="center"/>
    </x:xf>
    <x:xf numFmtId="0" fontId="18" fillId="0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19" fillId="3" borderId="0" xfId="0" applyNumberFormat="1" applyFont="1" applyFill="1" applyBorder="1" applyAlignment="1">
      <x:alignment horizontal="left" vertical="center"/>
    </x:xf>
    <x:xf numFmtId="0" fontId="22" fillId="0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/>
    <x:xf numFmtId="0" fontId="23" fillId="0" borderId="0" xfId="0" applyNumberFormat="1" applyFont="1" applyFill="1" applyBorder="1" applyAlignment="1">
      <x:alignment horizontal="center" vertical="center"/>
    </x:xf>
    <x:xf numFmtId="0" fontId="24" fillId="0" borderId="0" xfId="0" applyNumberFormat="1" applyFont="1" applyFill="1" applyBorder="1" applyAlignment="1">
      <x:alignment horizontal="center" vertical="center"/>
    </x:xf>
    <x:xf numFmtId="0" fontId="25" fillId="2" borderId="0" xfId="0" applyNumberFormat="1" applyFont="1" applyFill="1" applyBorder="1" applyAlignment="1">
      <x:alignment horizontal="left" vertical="center"/>
    </x:xf>
    <x:xf numFmtId="0" fontId="14" fillId="6" borderId="0" xfId="0" applyNumberFormat="1" applyFont="1" applyFill="1" applyBorder="1" applyAlignment="1">
      <x:alignment horizontal="center" vertical="center" wrapText="1"/>
    </x:xf>
    <x:xf numFmtId="0" fontId="16" fillId="4" borderId="0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 applyAlignment="1">
      <x:alignment vertical="center" wrapText="1"/>
    </x:xf>
    <x:xf numFmtId="4" fontId="26" fillId="0" borderId="0" xfId="0" applyNumberFormat="1" applyFont="1" applyFill="1" applyBorder="1" applyAlignment="1">
      <x:alignment horizontal="right" vertical="center" wrapText="1"/>
    </x:xf>
    <x:xf numFmtId="164" fontId="26" fillId="0" borderId="0" xfId="0" applyNumberFormat="1" applyFont="1" applyFill="1" applyBorder="1" applyAlignment="1">
      <x:alignment horizontal="right" vertical="center" wrapText="1"/>
    </x:xf>
    <x:xf numFmtId="4" fontId="26" fillId="7" borderId="0" xfId="0" applyNumberFormat="1" applyFont="1" applyFill="1" applyBorder="1" applyAlignment="1">
      <x:alignment horizontal="right" vertical="center" wrapText="1"/>
    </x:xf>
    <x:xf numFmtId="10" fontId="26" fillId="0" borderId="0" xfId="0" applyNumberFormat="1" applyFont="1" applyFill="1" applyBorder="1" applyAlignment="1">
      <x:alignment horizontal="right" vertical="center" wrapText="1"/>
    </x:xf>
    <x:xf numFmtId="0" fontId="13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 vertical="center" wrapText="1"/>
    </x:xf>
    <x:xf numFmtId="0" fontId="27" fillId="9" borderId="0" xfId="0" applyNumberFormat="1" applyFont="1" applyFill="1" applyBorder="1" applyAlignment="1">
      <x:alignment horizontal="center" vertical="center"/>
    </x:xf>
    <x:xf numFmtId="0" fontId="27" fillId="9" borderId="0" xfId="0" applyNumberFormat="1" applyFont="1" applyFill="1" applyBorder="1"/>
    <x:xf numFmtId="0" fontId="28" fillId="9" borderId="0" xfId="0" applyNumberFormat="1" applyFont="1" applyFill="1" applyBorder="1" applyAlignment="1">
      <x:alignment horizontal="center" vertical="center"/>
    </x:xf>
    <x:xf numFmtId="0" fontId="28" fillId="9" borderId="1" xfId="0" applyNumberFormat="1" applyFont="1" applyFill="1" applyBorder="1" applyAlignment="1">
      <x:alignment horizontal="left" vertical="center"/>
    </x:xf>
    <x:xf numFmtId="0" fontId="28" fillId="9" borderId="2" xfId="0" applyNumberFormat="1" applyFont="1" applyFill="1" applyBorder="1" applyAlignment="1">
      <x:alignment horizontal="left" vertical="center" wrapText="1"/>
    </x:xf>
    <x:xf numFmtId="0" fontId="29" fillId="9" borderId="0" xfId="0" applyNumberFormat="1" applyFont="1" applyFill="1" applyBorder="1" applyAlignment="1">
      <x:alignment horizontal="center" vertical="center"/>
    </x:xf>
    <x:xf numFmtId="0" fontId="34" fillId="9" borderId="0" xfId="0" applyNumberFormat="1" applyFont="1" applyFill="1" applyBorder="1" applyAlignment="1">
      <x:alignment horizontal="center" vertical="center"/>
    </x:xf>
    <x:xf numFmtId="0" fontId="35" fillId="9" borderId="0" xfId="0" applyNumberFormat="1" applyFont="1" applyFill="1" applyBorder="1" applyAlignment="1">
      <x:alignment horizontal="center" vertical="center"/>
    </x:xf>
    <x:xf numFmtId="0" fontId="32" fillId="9" borderId="0" xfId="0" applyNumberFormat="1" applyFont="1" applyFill="1" applyBorder="1" applyAlignment="1">
      <x:alignment horizontal="center" vertical="center"/>
    </x:xf>
    <x:xf numFmtId="0" fontId="36" fillId="9" borderId="0" xfId="0" applyNumberFormat="1" applyFont="1" applyFill="1" applyBorder="1" applyAlignment="1">
      <x:alignment horizontal="center" vertical="center"/>
    </x:xf>
    <x:xf numFmtId="0" fontId="28" fillId="9" borderId="32" xfId="0" applyNumberFormat="1" applyFont="1" applyFill="1" applyBorder="1" applyAlignment="1">
      <x:alignment horizontal="left" vertical="center" wrapText="1"/>
    </x:xf>
    <x:xf numFmtId="0" fontId="28" fillId="9" borderId="33" xfId="0" applyNumberFormat="1" applyFont="1" applyFill="1" applyBorder="1" applyAlignment="1">
      <x:alignment horizontal="left" vertical="center" wrapText="1"/>
    </x:xf>
    <x:xf numFmtId="0" fontId="28" fillId="9" borderId="28" xfId="0" applyNumberFormat="1" applyFont="1" applyFill="1" applyBorder="1" applyAlignment="1">
      <x:alignment horizontal="left" vertical="center" wrapText="1"/>
    </x:xf>
    <x:xf numFmtId="0" fontId="41" fillId="9" borderId="2" xfId="0" applyNumberFormat="1" applyFont="1" applyFill="1" applyBorder="1" applyAlignment="1">
      <x:alignment vertical="center" wrapText="1"/>
    </x:xf>
    <x:xf numFmtId="0" fontId="45" fillId="9" borderId="2" xfId="0" applyNumberFormat="1" applyFont="1" applyFill="1" applyBorder="1" applyAlignment="1">
      <x:alignment vertical="center" wrapText="1"/>
    </x:xf>
    <x:xf numFmtId="0" fontId="45" fillId="9" borderId="36" xfId="0" applyNumberFormat="1" applyFont="1" applyFill="1" applyBorder="1" applyAlignment="1">
      <x:alignment vertical="center" wrapText="1"/>
    </x:xf>
    <x:xf numFmtId="0" fontId="45" fillId="9" borderId="42" xfId="0" applyNumberFormat="1" applyFont="1" applyFill="1" applyBorder="1" applyAlignment="1">
      <x:alignment vertical="center" wrapText="1"/>
    </x:xf>
    <x:xf numFmtId="0" fontId="45" fillId="9" borderId="43" xfId="0" applyNumberFormat="1" applyFont="1" applyFill="1" applyBorder="1" applyAlignment="1">
      <x:alignment vertical="center" wrapText="1"/>
    </x:xf>
    <x:xf numFmtId="0" fontId="45" fillId="9" borderId="47" xfId="0" applyNumberFormat="1" applyFont="1" applyFill="1" applyBorder="1" applyAlignment="1">
      <x:alignment vertical="center" wrapText="1"/>
    </x:xf>
    <x:xf numFmtId="0" fontId="41" fillId="9" borderId="0" xfId="0" applyNumberFormat="1" applyFont="1" applyFill="1" applyBorder="1" applyAlignment="1">
      <x:alignment vertical="center" wrapText="1"/>
    </x:xf>
    <x:xf numFmtId="0" fontId="41" fillId="9" borderId="0" xfId="0" applyNumberFormat="1" applyFont="1" applyFill="1" applyBorder="1" applyAlignment="1">
      <x:alignment vertical="center"/>
    </x:xf>
    <x:xf numFmtId="0" fontId="40" fillId="9" borderId="0" xfId="0" applyNumberFormat="1" applyFont="1" applyFill="1" applyBorder="1" applyAlignment="1">
      <x:alignment horizontal="center" vertical="center" wrapText="1"/>
    </x:xf>
    <x:xf numFmtId="0" fontId="40" fillId="9" borderId="0" xfId="0" applyNumberFormat="1" applyFont="1" applyFill="1" applyBorder="1" applyAlignment="1">
      <x:alignment vertical="center" wrapText="1"/>
    </x:xf>
    <x:xf numFmtId="4" fontId="40" fillId="9" borderId="0" xfId="0" applyNumberFormat="1" applyFont="1" applyFill="1" applyBorder="1" applyAlignment="1">
      <x:alignment horizontal="right" vertical="center" wrapText="1"/>
    </x:xf>
    <x:xf numFmtId="164" fontId="40" fillId="9" borderId="0" xfId="0" applyNumberFormat="1" applyFont="1" applyFill="1" applyBorder="1" applyAlignment="1">
      <x:alignment horizontal="right" vertical="center" wrapText="1"/>
    </x:xf>
    <x:xf numFmtId="10" fontId="40" fillId="9" borderId="0" xfId="0" applyNumberFormat="1" applyFont="1" applyFill="1" applyBorder="1" applyAlignment="1">
      <x:alignment horizontal="right" vertical="center" wrapText="1"/>
    </x:xf>
    <x:xf numFmtId="0" fontId="41" fillId="9" borderId="62" xfId="0" applyNumberFormat="1" applyFont="1" applyFill="1" applyBorder="1" applyAlignment="1">
      <x:alignment vertical="center" wrapText="1"/>
    </x:xf>
    <x:xf numFmtId="0" fontId="41" fillId="9" borderId="63" xfId="0" applyNumberFormat="1" applyFont="1" applyFill="1" applyBorder="1" applyAlignment="1">
      <x:alignment vertical="center" wrapText="1"/>
    </x:xf>
    <x:xf numFmtId="0" fontId="41" fillId="9" borderId="63" xfId="0" applyNumberFormat="1" applyFont="1" applyFill="1" applyBorder="1" applyAlignment="1">
      <x:alignment vertical="center"/>
    </x:xf>
    <x:xf numFmtId="0" fontId="41" fillId="9" borderId="64" xfId="0" applyNumberFormat="1" applyFont="1" applyFill="1" applyBorder="1" applyAlignment="1">
      <x:alignment vertical="center"/>
    </x:xf>
    <x:xf numFmtId="0" fontId="41" fillId="9" borderId="65" xfId="0" applyNumberFormat="1" applyFont="1" applyFill="1" applyBorder="1" applyAlignment="1">
      <x:alignment vertical="center" wrapText="1"/>
    </x:xf>
    <x:xf numFmtId="0" fontId="41" fillId="9" borderId="66" xfId="0" applyNumberFormat="1" applyFont="1" applyFill="1" applyBorder="1" applyAlignment="1">
      <x:alignment vertical="center"/>
    </x:xf>
    <x:xf numFmtId="0" fontId="40" fillId="9" borderId="65" xfId="0" applyNumberFormat="1" applyFont="1" applyFill="1" applyBorder="1" applyAlignment="1">
      <x:alignment horizontal="center" vertical="center" wrapText="1"/>
    </x:xf>
    <x:xf numFmtId="10" fontId="40" fillId="9" borderId="66" xfId="0" applyNumberFormat="1" applyFont="1" applyFill="1" applyBorder="1" applyAlignment="1">
      <x:alignment horizontal="right" vertical="center" wrapText="1"/>
    </x:xf>
    <x:xf numFmtId="0" fontId="40" fillId="9" borderId="67" xfId="0" applyNumberFormat="1" applyFont="1" applyFill="1" applyBorder="1" applyAlignment="1">
      <x:alignment horizontal="center" vertical="center" wrapText="1"/>
    </x:xf>
    <x:xf numFmtId="0" fontId="40" fillId="9" borderId="68" xfId="0" applyNumberFormat="1" applyFont="1" applyFill="1" applyBorder="1" applyAlignment="1">
      <x:alignment vertical="center" wrapText="1"/>
    </x:xf>
    <x:xf numFmtId="0" fontId="40" fillId="9" borderId="68" xfId="0" applyNumberFormat="1" applyFont="1" applyFill="1" applyBorder="1" applyAlignment="1">
      <x:alignment horizontal="center" vertical="center" wrapText="1"/>
    </x:xf>
    <x:xf numFmtId="4" fontId="40" fillId="9" borderId="68" xfId="0" applyNumberFormat="1" applyFont="1" applyFill="1" applyBorder="1" applyAlignment="1">
      <x:alignment horizontal="right" vertical="center" wrapText="1"/>
    </x:xf>
    <x:xf numFmtId="164" fontId="40" fillId="9" borderId="68" xfId="0" applyNumberFormat="1" applyFont="1" applyFill="1" applyBorder="1" applyAlignment="1">
      <x:alignment horizontal="right" vertical="center" wrapText="1"/>
    </x:xf>
    <x:xf numFmtId="10" fontId="40" fillId="9" borderId="69" xfId="0" applyNumberFormat="1" applyFont="1" applyFill="1" applyBorder="1" applyAlignment="1">
      <x:alignment horizontal="right" vertical="center" wrapText="1"/>
    </x:xf>
    <x:xf numFmtId="0" fontId="41" fillId="9" borderId="62" xfId="0" applyNumberFormat="1" applyFont="1" applyFill="1" applyBorder="1" applyAlignment="1">
      <x:alignment horizontal="center" vertical="center" wrapText="1"/>
    </x:xf>
    <x:xf numFmtId="0" fontId="41" fillId="9" borderId="65" xfId="0" applyNumberFormat="1" applyFont="1" applyFill="1" applyBorder="1" applyAlignment="1">
      <x:alignment horizontal="center" vertical="center" wrapText="1"/>
    </x:xf>
    <x:xf numFmtId="0" fontId="41" fillId="9" borderId="63" xfId="0" applyNumberFormat="1" applyFont="1" applyFill="1" applyBorder="1" applyAlignment="1">
      <x:alignment horizontal="center" vertical="center"/>
    </x:xf>
    <x:xf numFmtId="0" fontId="41" fillId="9" borderId="64" xfId="0" applyNumberFormat="1" applyFont="1" applyFill="1" applyBorder="1" applyAlignment="1">
      <x:alignment horizontal="center" vertical="center"/>
    </x:xf>
    <x:xf numFmtId="0" fontId="41" fillId="9" borderId="0" xfId="0" applyNumberFormat="1" applyFont="1" applyFill="1" applyBorder="1" applyAlignment="1">
      <x:alignment horizontal="center" vertical="center"/>
    </x:xf>
    <x:xf numFmtId="0" fontId="41" fillId="9" borderId="66" xfId="0" applyNumberFormat="1" applyFont="1" applyFill="1" applyBorder="1" applyAlignment="1">
      <x:alignment horizontal="center" vertical="center"/>
    </x:xf>
    <x:xf numFmtId="4" fontId="40" fillId="9" borderId="0" xfId="0" applyNumberFormat="1" applyFont="1" applyFill="1" applyBorder="1" applyAlignment="1">
      <x:alignment horizontal="center" vertical="center" wrapText="1"/>
    </x:xf>
    <x:xf numFmtId="164" fontId="40" fillId="9" borderId="0" xfId="0" applyNumberFormat="1" applyFont="1" applyFill="1" applyBorder="1" applyAlignment="1">
      <x:alignment horizontal="center" vertical="center" wrapText="1"/>
    </x:xf>
    <x:xf numFmtId="10" fontId="40" fillId="9" borderId="66" xfId="0" applyNumberFormat="1" applyFont="1" applyFill="1" applyBorder="1" applyAlignment="1">
      <x:alignment horizontal="center" vertical="center" wrapText="1"/>
    </x:xf>
    <x:xf numFmtId="4" fontId="40" fillId="9" borderId="68" xfId="0" applyNumberFormat="1" applyFont="1" applyFill="1" applyBorder="1" applyAlignment="1">
      <x:alignment horizontal="center" vertical="center" wrapText="1"/>
    </x:xf>
    <x:xf numFmtId="164" fontId="40" fillId="9" borderId="68" xfId="0" applyNumberFormat="1" applyFont="1" applyFill="1" applyBorder="1" applyAlignment="1">
      <x:alignment horizontal="center" vertical="center" wrapText="1"/>
    </x:xf>
    <x:xf numFmtId="10" fontId="40" fillId="9" borderId="69" xfId="0" applyNumberFormat="1" applyFont="1" applyFill="1" applyBorder="1" applyAlignment="1">
      <x:alignment horizontal="center" vertical="center" wrapText="1"/>
    </x:xf>
    <x:xf numFmtId="4" fontId="46" fillId="9" borderId="0" xfId="0" applyNumberFormat="1" applyFont="1" applyFill="1" applyBorder="1" applyAlignment="1">
      <x:alignment horizontal="center" vertical="center" wrapText="1"/>
    </x:xf>
    <x:xf numFmtId="0" fontId="40" fillId="8" borderId="65" xfId="0" applyNumberFormat="1" applyFont="1" applyFill="1" applyBorder="1" applyAlignment="1">
      <x:alignment horizontal="center" vertical="center" wrapText="1"/>
    </x:xf>
    <x:xf numFmtId="4" fontId="40" fillId="8" borderId="0" xfId="0" applyNumberFormat="1" applyFont="1" applyFill="1" applyBorder="1" applyAlignment="1">
      <x:alignment horizontal="center" vertical="center" wrapText="1"/>
    </x:xf>
    <x:xf numFmtId="164" fontId="40" fillId="8" borderId="0" xfId="0" applyNumberFormat="1" applyFont="1" applyFill="1" applyBorder="1" applyAlignment="1">
      <x:alignment horizontal="center" vertical="center" wrapText="1"/>
    </x:xf>
    <x:xf numFmtId="10" fontId="40" fillId="8" borderId="66" xfId="0" applyNumberFormat="1" applyFont="1" applyFill="1" applyBorder="1" applyAlignment="1">
      <x:alignment horizontal="center" vertical="center" wrapText="1"/>
    </x:xf>
    <x:xf numFmtId="4" fontId="46" fillId="8" borderId="0" xfId="0" applyNumberFormat="1" applyFont="1" applyFill="1" applyBorder="1" applyAlignment="1">
      <x:alignment horizontal="center" vertical="center" wrapText="1"/>
    </x:xf>
    <x:xf numFmtId="4" fontId="46" fillId="9" borderId="68" xfId="0" applyNumberFormat="1" applyFont="1" applyFill="1" applyBorder="1" applyAlignment="1">
      <x:alignment horizontal="center" vertical="center" wrapText="1"/>
    </x:xf>
    <x:xf numFmtId="200" fontId="40" fillId="9" borderId="0" xfId="0" applyNumberFormat="1" applyFont="1" applyFill="1" applyBorder="1" applyAlignment="1">
      <x:alignment horizontal="center" vertical="center" wrapText="1"/>
    </x:xf>
    <x:xf numFmtId="200" fontId="40" fillId="8" borderId="0" xfId="0" applyNumberFormat="1" applyFont="1" applyFill="1" applyBorder="1" applyAlignment="1">
      <x:alignment horizontal="center" vertical="center" wrapText="1"/>
    </x:xf>
    <x:xf numFmtId="200" fontId="40" fillId="9" borderId="68" xfId="0" applyNumberFormat="1" applyFont="1" applyFill="1" applyBorder="1" applyAlignment="1">
      <x:alignment horizontal="center" vertical="center" wrapText="1"/>
    </x:xf>
    <x:xf numFmtId="201" fontId="40" fillId="9" borderId="0" xfId="0" applyNumberFormat="1" applyFont="1" applyFill="1" applyBorder="1" applyAlignment="1">
      <x:alignment horizontal="center" vertical="center" wrapText="1"/>
    </x:xf>
    <x:xf numFmtId="201" fontId="40" fillId="8" borderId="0" xfId="0" applyNumberFormat="1" applyFont="1" applyFill="1" applyBorder="1" applyAlignment="1">
      <x:alignment horizontal="center" vertical="center" wrapText="1"/>
    </x:xf>
    <x:xf numFmtId="201" fontId="40" fillId="9" borderId="68" xfId="0" applyNumberFormat="1" applyFont="1" applyFill="1" applyBorder="1" applyAlignment="1">
      <x:alignment horizontal="center" vertical="center" wrapText="1"/>
    </x:xf>
    <x:xf numFmtId="200" fontId="46" fillId="9" borderId="0" xfId="0" applyNumberFormat="1" applyFont="1" applyFill="1" applyBorder="1" applyAlignment="1">
      <x:alignment horizontal="center" vertical="center" wrapText="1"/>
    </x:xf>
    <x:xf numFmtId="200" fontId="46" fillId="8" borderId="0" xfId="0" applyNumberFormat="1" applyFont="1" applyFill="1" applyBorder="1" applyAlignment="1">
      <x:alignment horizontal="center" vertical="center" wrapText="1"/>
    </x:xf>
    <x:xf numFmtId="200" fontId="46" fillId="9" borderId="68" xfId="0" applyNumberFormat="1" applyFont="1" applyFill="1" applyBorder="1" applyAlignment="1">
      <x:alignment horizontal="center" vertical="center" wrapText="1"/>
    </x:xf>
    <x:xf numFmtId="202" fontId="40" fillId="9" borderId="66" xfId="0" applyNumberFormat="1" applyFont="1" applyFill="1" applyBorder="1" applyAlignment="1">
      <x:alignment horizontal="center" vertical="center" wrapText="1"/>
    </x:xf>
    <x:xf numFmtId="202" fontId="40" fillId="8" borderId="66" xfId="0" applyNumberFormat="1" applyFont="1" applyFill="1" applyBorder="1" applyAlignment="1">
      <x:alignment horizontal="center" vertical="center" wrapText="1"/>
    </x:xf>
    <x:xf numFmtId="202" fontId="40" fillId="9" borderId="69" xfId="0" applyNumberFormat="1" applyFont="1" applyFill="1" applyBorder="1" applyAlignment="1">
      <x:alignment horizontal="center" vertical="center" wrapText="1"/>
    </x:xf>
    <x:xf numFmtId="10" fontId="41" fillId="9" borderId="3" xfId="0" applyNumberFormat="1" applyFont="1" applyFill="1" applyBorder="1" applyAlignment="1">
      <x:alignment horizontal="left" vertical="center"/>
    </x:xf>
    <x:xf numFmtId="164" fontId="49" fillId="9" borderId="3" xfId="0" applyNumberFormat="1" applyFont="1" applyFill="1" applyBorder="1" applyAlignment="1">
      <x:alignment horizontal="left" vertical="center"/>
    </x:xf>
    <x:xf numFmtId="10" fontId="49" fillId="9" borderId="3" xfId="0" applyNumberFormat="1" applyFont="1" applyFill="1" applyBorder="1" applyAlignment="1">
      <x:alignment horizontal="left" vertical="center"/>
    </x:xf>
    <x:xf numFmtId="164" fontId="49" fillId="9" borderId="86" xfId="0" applyNumberFormat="1" applyFont="1" applyFill="1" applyBorder="1" applyAlignment="1">
      <x:alignment horizontal="left" vertical="center"/>
    </x:xf>
    <x:xf numFmtId="164" fontId="49" fillId="9" borderId="87" xfId="0" applyNumberFormat="1" applyFont="1" applyFill="1" applyBorder="1" applyAlignment="1">
      <x:alignment horizontal="left" vertical="center"/>
    </x:xf>
    <x:xf numFmtId="10" fontId="49" fillId="9" borderId="87" xfId="0" applyNumberFormat="1" applyFont="1" applyFill="1" applyBorder="1" applyAlignment="1">
      <x:alignment horizontal="left" vertical="center"/>
    </x:xf>
    <x:xf numFmtId="164" fontId="49" fillId="9" borderId="88" xfId="0" applyNumberFormat="1" applyFont="1" applyFill="1" applyBorder="1" applyAlignment="1">
      <x:alignment horizontal="left" vertical="center"/>
    </x:xf>
    <x:xf numFmtId="164" fontId="49" fillId="9" borderId="86" xfId="0" applyNumberFormat="1" applyFont="1" applyFill="1" applyBorder="1" applyAlignment="1">
      <x:alignment horizontal="center" vertical="center"/>
    </x:xf>
    <x:xf numFmtId="164" fontId="49" fillId="9" borderId="87" xfId="0" applyNumberFormat="1" applyFont="1" applyFill="1" applyBorder="1" applyAlignment="1">
      <x:alignment horizontal="center" vertical="center"/>
    </x:xf>
    <x:xf numFmtId="10" fontId="49" fillId="9" borderId="87" xfId="0" applyNumberFormat="1" applyFont="1" applyFill="1" applyBorder="1" applyAlignment="1">
      <x:alignment horizontal="center" vertical="center"/>
    </x:xf>
    <x:xf numFmtId="164" fontId="49" fillId="9" borderId="88" xfId="0" applyNumberFormat="1" applyFont="1" applyFill="1" applyBorder="1" applyAlignment="1">
      <x:alignment horizontal="center" vertical="center"/>
    </x:xf>
    <x:xf numFmtId="201" fontId="49" fillId="9" borderId="86" xfId="0" applyNumberFormat="1" applyFont="1" applyFill="1" applyBorder="1" applyAlignment="1">
      <x:alignment horizontal="center" vertical="center"/>
    </x:xf>
    <x:xf numFmtId="201" fontId="49" fillId="9" borderId="87" xfId="0" applyNumberFormat="1" applyFont="1" applyFill="1" applyBorder="1" applyAlignment="1">
      <x:alignment horizontal="center" vertical="center"/>
    </x:xf>
    <x:xf numFmtId="202" fontId="49" fillId="9" borderId="87" xfId="0" applyNumberFormat="1" applyFont="1" applyFill="1" applyBorder="1" applyAlignment="1">
      <x:alignment horizontal="center" vertical="center"/>
    </x:xf>
    <x:xf numFmtId="0" fontId="41" fillId="9" borderId="0" xfId="0" applyNumberFormat="1" applyFont="1" applyFill="1" applyBorder="1"/>
    <x:xf numFmtId="0" fontId="41" fillId="9" borderId="63" xfId="0" applyNumberFormat="1" applyFont="1" applyFill="1" applyBorder="1"/>
    <x:xf numFmtId="0" fontId="41" fillId="9" borderId="64" xfId="0" applyNumberFormat="1" applyFont="1" applyFill="1" applyBorder="1"/>
    <x:xf numFmtId="0" fontId="41" fillId="9" borderId="66" xfId="0" applyNumberFormat="1" applyFont="1" applyFill="1" applyBorder="1"/>
    <x:xf numFmtId="0" fontId="40" fillId="9" borderId="65" xfId="0" applyNumberFormat="1" applyFont="1" applyFill="1" applyBorder="1" applyAlignment="1">
      <x:alignment vertical="center" wrapText="1"/>
    </x:xf>
    <x:xf numFmtId="164" fontId="40" fillId="9" borderId="66" xfId="0" applyNumberFormat="1" applyFont="1" applyFill="1" applyBorder="1" applyAlignment="1">
      <x:alignment horizontal="right" vertical="center" wrapText="1"/>
    </x:xf>
    <x:xf numFmtId="0" fontId="40" fillId="9" borderId="67" xfId="0" applyNumberFormat="1" applyFont="1" applyFill="1" applyBorder="1" applyAlignment="1">
      <x:alignment vertical="center" wrapText="1"/>
    </x:xf>
    <x:xf numFmtId="10" fontId="40" fillId="9" borderId="68" xfId="0" applyNumberFormat="1" applyFont="1" applyFill="1" applyBorder="1" applyAlignment="1">
      <x:alignment horizontal="right" vertical="center" wrapText="1"/>
    </x:xf>
    <x:xf numFmtId="164" fontId="40" fillId="9" borderId="69" xfId="0" applyNumberFormat="1" applyFont="1" applyFill="1" applyBorder="1" applyAlignment="1">
      <x:alignment horizontal="right" vertical="center" wrapText="1"/>
    </x:xf>
    <x:xf numFmtId="0" fontId="40" fillId="8" borderId="65" xfId="0" applyNumberFormat="1" applyFont="1" applyFill="1" applyBorder="1" applyAlignment="1">
      <x:alignment vertical="center" wrapText="1"/>
    </x:xf>
    <x:xf numFmtId="164" fontId="40" fillId="8" borderId="66" xfId="0" applyNumberFormat="1" applyFont="1" applyFill="1" applyBorder="1" applyAlignment="1">
      <x:alignment horizontal="right" vertical="center" wrapText="1"/>
    </x:xf>
    <x:xf numFmtId="200" fontId="40" fillId="9" borderId="0" xfId="0" applyNumberFormat="1" applyFont="1" applyFill="1" applyBorder="1" applyAlignment="1">
      <x:alignment horizontal="right" vertical="center" wrapText="1"/>
    </x:xf>
    <x:xf numFmtId="200" fontId="40" fillId="8" borderId="0" xfId="0" applyNumberFormat="1" applyFont="1" applyFill="1" applyBorder="1" applyAlignment="1">
      <x:alignment horizontal="right" vertical="center" wrapText="1"/>
    </x:xf>
    <x:xf numFmtId="200" fontId="40" fillId="9" borderId="68" xfId="0" applyNumberFormat="1" applyFont="1" applyFill="1" applyBorder="1" applyAlignment="1">
      <x:alignment horizontal="right" vertical="center" wrapText="1"/>
    </x:xf>
    <x:xf numFmtId="201" fontId="40" fillId="9" borderId="0" xfId="0" applyNumberFormat="1" applyFont="1" applyFill="1" applyBorder="1" applyAlignment="1">
      <x:alignment horizontal="right" vertical="center" wrapText="1"/>
    </x:xf>
    <x:xf numFmtId="201" fontId="40" fillId="8" borderId="0" xfId="0" applyNumberFormat="1" applyFont="1" applyFill="1" applyBorder="1" applyAlignment="1">
      <x:alignment horizontal="right" vertical="center" wrapText="1"/>
    </x:xf>
    <x:xf numFmtId="201" fontId="40" fillId="9" borderId="68" xfId="0" applyNumberFormat="1" applyFont="1" applyFill="1" applyBorder="1" applyAlignment="1">
      <x:alignment horizontal="right" vertical="center" wrapText="1"/>
    </x:xf>
    <x:xf numFmtId="0" fontId="40" fillId="9" borderId="0" xfId="0" applyNumberFormat="1" applyFont="1" applyFill="1" applyBorder="1"/>
    <x:xf numFmtId="4" fontId="40" fillId="9" borderId="66" xfId="0" applyNumberFormat="1" applyFont="1" applyFill="1" applyBorder="1" applyAlignment="1">
      <x:alignment horizontal="right" vertical="center" wrapText="1"/>
    </x:xf>
    <x:xf numFmtId="0" fontId="40" fillId="9" borderId="67" xfId="0" applyNumberFormat="1" applyFont="1" applyFill="1" applyBorder="1"/>
    <x:xf numFmtId="0" fontId="40" fillId="9" borderId="68" xfId="0" applyNumberFormat="1" applyFont="1" applyFill="1" applyBorder="1"/>
    <x:xf numFmtId="0" fontId="40" fillId="9" borderId="69" xfId="0" applyNumberFormat="1" applyFont="1" applyFill="1" applyBorder="1"/>
    <x:xf numFmtId="0" fontId="40" fillId="9" borderId="67" xfId="0" applyNumberFormat="1" applyFont="1" applyFill="1" applyBorder="1" applyAlignment="1">
      <x:alignment vertical="center"/>
    </x:xf>
    <x:xf numFmtId="0" fontId="40" fillId="9" borderId="68" xfId="0" applyNumberFormat="1" applyFont="1" applyFill="1" applyBorder="1" applyAlignment="1">
      <x:alignment vertical="center"/>
    </x:xf>
    <x:xf numFmtId="0" fontId="40" fillId="9" borderId="69" xfId="0" applyNumberFormat="1" applyFont="1" applyFill="1" applyBorder="1" applyAlignment="1">
      <x:alignment vertical="center"/>
    </x:xf>
    <x:xf numFmtId="4" fontId="40" fillId="8" borderId="66" xfId="0" applyNumberFormat="1" applyFont="1" applyFill="1" applyBorder="1" applyAlignment="1">
      <x:alignment horizontal="right" vertical="center" wrapText="1"/>
    </x:xf>
    <x:xf numFmtId="200" fontId="40" fillId="9" borderId="68" xfId="0" applyNumberFormat="1" applyFont="1" applyFill="1" applyBorder="1" applyAlignment="1">
      <x:alignment vertical="center"/>
    </x:xf>
    <x:xf numFmtId="201" fontId="40" fillId="9" borderId="68" xfId="0" applyNumberFormat="1" applyFont="1" applyFill="1" applyBorder="1" applyAlignment="1">
      <x:alignment vertical="center"/>
    </x:xf>
    <x:xf numFmtId="201" fontId="40" fillId="9" borderId="66" xfId="0" applyNumberFormat="1" applyFont="1" applyFill="1" applyBorder="1" applyAlignment="1">
      <x:alignment horizontal="right" vertical="center" wrapText="1"/>
    </x:xf>
    <x:xf numFmtId="201" fontId="40" fillId="8" borderId="66" xfId="0" applyNumberFormat="1" applyFont="1" applyFill="1" applyBorder="1" applyAlignment="1">
      <x:alignment horizontal="right" vertical="center" wrapText="1"/>
    </x:xf>
    <x:xf numFmtId="201" fontId="40" fillId="9" borderId="69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4" fillId="9" borderId="0" xfId="0" applyNumberFormat="1" applyFont="1" applyFill="1" applyBorder="1"/>
    <x:xf numFmtId="0" fontId="54" fillId="8" borderId="0" xfId="0" applyNumberFormat="1" applyFont="1" applyFill="1" applyBorder="1"/>
    <x:xf numFmtId="0" fontId="56" fillId="8" borderId="0" xfId="0" applyNumberFormat="1" applyFont="1" applyFill="1" applyBorder="1"/>
    <x:xf numFmtId="0" fontId="56" fillId="8" borderId="92" xfId="0" applyNumberFormat="1" applyFont="1" applyFill="1" applyBorder="1"/>
    <x:xf numFmtId="0" fontId="56" fillId="8" borderId="93" xfId="0" applyNumberFormat="1" applyFont="1" applyFill="1" applyBorder="1"/>
    <x:xf numFmtId="0" fontId="56" fillId="8" borderId="94" xfId="0" applyNumberFormat="1" applyFont="1" applyFill="1" applyBorder="1"/>
    <x:xf numFmtId="0" fontId="56" fillId="8" borderId="95" xfId="0" applyNumberFormat="1" applyFont="1" applyFill="1" applyBorder="1"/>
    <x:xf numFmtId="0" fontId="56" fillId="8" borderId="96" xfId="0" applyNumberFormat="1" applyFont="1" applyFill="1" applyBorder="1"/>
    <x:xf numFmtId="0" fontId="56" fillId="8" borderId="97" xfId="0" applyNumberFormat="1" applyFont="1" applyFill="1" applyBorder="1"/>
    <x:xf numFmtId="0" fontId="56" fillId="8" borderId="98" xfId="0" applyNumberFormat="1" applyFont="1" applyFill="1" applyBorder="1"/>
    <x:xf numFmtId="0" fontId="56" fillId="8" borderId="99" xfId="0" applyNumberFormat="1" applyFont="1" applyFill="1" applyBorder="1"/>
    <x:xf numFmtId="201" fontId="56" fillId="8" borderId="92" xfId="0" applyNumberFormat="1" applyFont="1" applyFill="1" applyBorder="1"/>
    <x:xf numFmtId="201" fontId="56" fillId="8" borderId="93" xfId="0" applyNumberFormat="1" applyFont="1" applyFill="1" applyBorder="1"/>
    <x:xf numFmtId="201" fontId="56" fillId="8" borderId="94" xfId="0" applyNumberFormat="1" applyFont="1" applyFill="1" applyBorder="1"/>
    <x:xf numFmtId="201" fontId="56" fillId="8" borderId="95" xfId="0" applyNumberFormat="1" applyFont="1" applyFill="1" applyBorder="1"/>
    <x:xf numFmtId="201" fontId="56" fillId="8" borderId="0" xfId="0" applyNumberFormat="1" applyFont="1" applyFill="1" applyBorder="1"/>
    <x:xf numFmtId="201" fontId="56" fillId="8" borderId="96" xfId="0" applyNumberFormat="1" applyFont="1" applyFill="1" applyBorder="1"/>
    <x:xf numFmtId="201" fontId="56" fillId="8" borderId="97" xfId="0" applyNumberFormat="1" applyFont="1" applyFill="1" applyBorder="1"/>
    <x:xf numFmtId="201" fontId="56" fillId="8" borderId="98" xfId="0" applyNumberFormat="1" applyFont="1" applyFill="1" applyBorder="1"/>
    <x:xf numFmtId="201" fontId="56" fillId="8" borderId="99" xfId="0" applyNumberFormat="1" applyFont="1" applyFill="1" applyBorder="1"/>
    <x:xf numFmtId="201" fontId="56" fillId="8" borderId="92" xfId="0" applyNumberFormat="1" applyFont="1" applyFill="1" applyBorder="1" applyAlignment="1">
      <x:alignment horizontal="center"/>
    </x:xf>
    <x:xf numFmtId="201" fontId="56" fillId="8" borderId="93" xfId="0" applyNumberFormat="1" applyFont="1" applyFill="1" applyBorder="1" applyAlignment="1">
      <x:alignment horizontal="center"/>
    </x:xf>
    <x:xf numFmtId="201" fontId="56" fillId="8" borderId="94" xfId="0" applyNumberFormat="1" applyFont="1" applyFill="1" applyBorder="1" applyAlignment="1">
      <x:alignment horizontal="center"/>
    </x:xf>
    <x:xf numFmtId="201" fontId="56" fillId="8" borderId="95" xfId="0" applyNumberFormat="1" applyFont="1" applyFill="1" applyBorder="1" applyAlignment="1">
      <x:alignment horizontal="center"/>
    </x:xf>
    <x:xf numFmtId="201" fontId="56" fillId="8" borderId="0" xfId="0" applyNumberFormat="1" applyFont="1" applyFill="1" applyBorder="1" applyAlignment="1">
      <x:alignment horizontal="center"/>
    </x:xf>
    <x:xf numFmtId="201" fontId="56" fillId="8" borderId="96" xfId="0" applyNumberFormat="1" applyFont="1" applyFill="1" applyBorder="1" applyAlignment="1">
      <x:alignment horizontal="center"/>
    </x:xf>
    <x:xf numFmtId="201" fontId="56" fillId="8" borderId="97" xfId="0" applyNumberFormat="1" applyFont="1" applyFill="1" applyBorder="1" applyAlignment="1">
      <x:alignment horizontal="center"/>
    </x:xf>
    <x:xf numFmtId="201" fontId="56" fillId="8" borderId="98" xfId="0" applyNumberFormat="1" applyFont="1" applyFill="1" applyBorder="1" applyAlignment="1">
      <x:alignment horizontal="center"/>
    </x:xf>
    <x:xf numFmtId="201" fontId="56" fillId="8" borderId="99" xfId="0" applyNumberFormat="1" applyFont="1" applyFill="1" applyBorder="1" applyAlignment="1">
      <x:alignment horizontal="center"/>
    </x:xf>
    <x:xf numFmtId="201" fontId="56" fillId="8" borderId="92" xfId="0" applyNumberFormat="1" applyFont="1" applyFill="1" applyBorder="1" applyAlignment="1">
      <x:alignment horizontal="center" vertical="center"/>
    </x:xf>
    <x:xf numFmtId="201" fontId="56" fillId="8" borderId="93" xfId="0" applyNumberFormat="1" applyFont="1" applyFill="1" applyBorder="1" applyAlignment="1">
      <x:alignment horizontal="center" vertical="center"/>
    </x:xf>
    <x:xf numFmtId="201" fontId="56" fillId="8" borderId="94" xfId="0" applyNumberFormat="1" applyFont="1" applyFill="1" applyBorder="1" applyAlignment="1">
      <x:alignment horizontal="center" vertical="center"/>
    </x:xf>
    <x:xf numFmtId="201" fontId="56" fillId="8" borderId="95" xfId="0" applyNumberFormat="1" applyFont="1" applyFill="1" applyBorder="1" applyAlignment="1">
      <x:alignment horizontal="center" vertical="center"/>
    </x:xf>
    <x:xf numFmtId="201" fontId="56" fillId="8" borderId="0" xfId="0" applyNumberFormat="1" applyFont="1" applyFill="1" applyBorder="1" applyAlignment="1">
      <x:alignment horizontal="center" vertical="center"/>
    </x:xf>
    <x:xf numFmtId="201" fontId="56" fillId="8" borderId="96" xfId="0" applyNumberFormat="1" applyFont="1" applyFill="1" applyBorder="1" applyAlignment="1">
      <x:alignment horizontal="center" vertical="center"/>
    </x:xf>
    <x:xf numFmtId="201" fontId="56" fillId="8" borderId="97" xfId="0" applyNumberFormat="1" applyFont="1" applyFill="1" applyBorder="1" applyAlignment="1">
      <x:alignment horizontal="center" vertical="center"/>
    </x:xf>
    <x:xf numFmtId="201" fontId="56" fillId="8" borderId="98" xfId="0" applyNumberFormat="1" applyFont="1" applyFill="1" applyBorder="1" applyAlignment="1">
      <x:alignment horizontal="center" vertical="center"/>
    </x:xf>
    <x:xf numFmtId="201" fontId="56" fillId="8" borderId="99" xfId="0" applyNumberFormat="1" applyFont="1" applyFill="1" applyBorder="1" applyAlignment="1">
      <x:alignment horizontal="center" vertical="center"/>
    </x:xf>
    <x:xf numFmtId="0" fontId="57" fillId="9" borderId="0" xfId="0" applyNumberFormat="1" applyFont="1" applyFill="1" applyBorder="1"/>
    <x:xf numFmtId="0" fontId="57" fillId="9" borderId="92" xfId="0" applyNumberFormat="1" applyFont="1" applyFill="1" applyBorder="1"/>
    <x:xf numFmtId="0" fontId="57" fillId="9" borderId="93" xfId="0" applyNumberFormat="1" applyFont="1" applyFill="1" applyBorder="1"/>
    <x:xf numFmtId="0" fontId="57" fillId="9" borderId="94" xfId="0" applyNumberFormat="1" applyFont="1" applyFill="1" applyBorder="1"/>
    <x:xf numFmtId="0" fontId="57" fillId="9" borderId="95" xfId="0" applyNumberFormat="1" applyFont="1" applyFill="1" applyBorder="1"/>
    <x:xf numFmtId="0" fontId="57" fillId="9" borderId="96" xfId="0" applyNumberFormat="1" applyFont="1" applyFill="1" applyBorder="1"/>
    <x:xf numFmtId="0" fontId="57" fillId="9" borderId="97" xfId="0" applyNumberFormat="1" applyFont="1" applyFill="1" applyBorder="1"/>
    <x:xf numFmtId="0" fontId="57" fillId="9" borderId="98" xfId="0" applyNumberFormat="1" applyFont="1" applyFill="1" applyBorder="1"/>
    <x:xf numFmtId="0" fontId="57" fillId="9" borderId="99" xfId="0" applyNumberFormat="1" applyFont="1" applyFill="1" applyBorder="1"/>
    <x:xf numFmtId="202" fontId="57" fillId="9" borderId="92" xfId="0" applyNumberFormat="1" applyFont="1" applyFill="1" applyBorder="1"/>
    <x:xf numFmtId="202" fontId="57" fillId="9" borderId="93" xfId="0" applyNumberFormat="1" applyFont="1" applyFill="1" applyBorder="1"/>
    <x:xf numFmtId="202" fontId="57" fillId="9" borderId="94" xfId="0" applyNumberFormat="1" applyFont="1" applyFill="1" applyBorder="1"/>
    <x:xf numFmtId="202" fontId="57" fillId="9" borderId="95" xfId="0" applyNumberFormat="1" applyFont="1" applyFill="1" applyBorder="1"/>
    <x:xf numFmtId="202" fontId="57" fillId="9" borderId="0" xfId="0" applyNumberFormat="1" applyFont="1" applyFill="1" applyBorder="1"/>
    <x:xf numFmtId="202" fontId="57" fillId="9" borderId="96" xfId="0" applyNumberFormat="1" applyFont="1" applyFill="1" applyBorder="1"/>
    <x:xf numFmtId="202" fontId="57" fillId="9" borderId="97" xfId="0" applyNumberFormat="1" applyFont="1" applyFill="1" applyBorder="1"/>
    <x:xf numFmtId="202" fontId="57" fillId="9" borderId="98" xfId="0" applyNumberFormat="1" applyFont="1" applyFill="1" applyBorder="1"/>
    <x:xf numFmtId="202" fontId="57" fillId="9" borderId="99" xfId="0" applyNumberFormat="1" applyFont="1" applyFill="1" applyBorder="1"/>
    <x:xf numFmtId="202" fontId="57" fillId="9" borderId="92" xfId="0" applyNumberFormat="1" applyFont="1" applyFill="1" applyBorder="1" applyAlignment="1">
      <x:alignment horizontal="center"/>
    </x:xf>
    <x:xf numFmtId="202" fontId="57" fillId="9" borderId="93" xfId="0" applyNumberFormat="1" applyFont="1" applyFill="1" applyBorder="1" applyAlignment="1">
      <x:alignment horizontal="center"/>
    </x:xf>
    <x:xf numFmtId="202" fontId="57" fillId="9" borderId="94" xfId="0" applyNumberFormat="1" applyFont="1" applyFill="1" applyBorder="1" applyAlignment="1">
      <x:alignment horizontal="center"/>
    </x:xf>
    <x:xf numFmtId="202" fontId="57" fillId="9" borderId="95" xfId="0" applyNumberFormat="1" applyFont="1" applyFill="1" applyBorder="1" applyAlignment="1">
      <x:alignment horizontal="center"/>
    </x:xf>
    <x:xf numFmtId="202" fontId="57" fillId="9" borderId="0" xfId="0" applyNumberFormat="1" applyFont="1" applyFill="1" applyBorder="1" applyAlignment="1">
      <x:alignment horizontal="center"/>
    </x:xf>
    <x:xf numFmtId="202" fontId="57" fillId="9" borderId="96" xfId="0" applyNumberFormat="1" applyFont="1" applyFill="1" applyBorder="1" applyAlignment="1">
      <x:alignment horizontal="center"/>
    </x:xf>
    <x:xf numFmtId="202" fontId="57" fillId="9" borderId="97" xfId="0" applyNumberFormat="1" applyFont="1" applyFill="1" applyBorder="1" applyAlignment="1">
      <x:alignment horizontal="center"/>
    </x:xf>
    <x:xf numFmtId="202" fontId="57" fillId="9" borderId="98" xfId="0" applyNumberFormat="1" applyFont="1" applyFill="1" applyBorder="1" applyAlignment="1">
      <x:alignment horizontal="center"/>
    </x:xf>
    <x:xf numFmtId="202" fontId="57" fillId="9" borderId="99" xfId="0" applyNumberFormat="1" applyFont="1" applyFill="1" applyBorder="1" applyAlignment="1">
      <x:alignment horizontal="center"/>
    </x:xf>
    <x:xf numFmtId="202" fontId="57" fillId="9" borderId="92" xfId="0" applyNumberFormat="1" applyFont="1" applyFill="1" applyBorder="1" applyAlignment="1">
      <x:alignment horizontal="center" vertical="center"/>
    </x:xf>
    <x:xf numFmtId="202" fontId="57" fillId="9" borderId="93" xfId="0" applyNumberFormat="1" applyFont="1" applyFill="1" applyBorder="1" applyAlignment="1">
      <x:alignment horizontal="center" vertical="center"/>
    </x:xf>
    <x:xf numFmtId="202" fontId="57" fillId="9" borderId="94" xfId="0" applyNumberFormat="1" applyFont="1" applyFill="1" applyBorder="1" applyAlignment="1">
      <x:alignment horizontal="center" vertical="center"/>
    </x:xf>
    <x:xf numFmtId="202" fontId="57" fillId="9" borderId="95" xfId="0" applyNumberFormat="1" applyFont="1" applyFill="1" applyBorder="1" applyAlignment="1">
      <x:alignment horizontal="center" vertical="center"/>
    </x:xf>
    <x:xf numFmtId="202" fontId="57" fillId="9" borderId="0" xfId="0" applyNumberFormat="1" applyFont="1" applyFill="1" applyBorder="1" applyAlignment="1">
      <x:alignment horizontal="center" vertical="center"/>
    </x:xf>
    <x:xf numFmtId="202" fontId="57" fillId="9" borderId="96" xfId="0" applyNumberFormat="1" applyFont="1" applyFill="1" applyBorder="1" applyAlignment="1">
      <x:alignment horizontal="center" vertical="center"/>
    </x:xf>
    <x:xf numFmtId="202" fontId="57" fillId="9" borderId="97" xfId="0" applyNumberFormat="1" applyFont="1" applyFill="1" applyBorder="1" applyAlignment="1">
      <x:alignment horizontal="center" vertical="center"/>
    </x:xf>
    <x:xf numFmtId="202" fontId="57" fillId="9" borderId="98" xfId="0" applyNumberFormat="1" applyFont="1" applyFill="1" applyBorder="1" applyAlignment="1">
      <x:alignment horizontal="center" vertical="center"/>
    </x:xf>
    <x:xf numFmtId="202" fontId="57" fillId="9" borderId="99" xfId="0" applyNumberFormat="1" applyFont="1" applyFill="1" applyBorder="1" applyAlignment="1">
      <x:alignment horizontal="center" vertical="center"/>
    </x:xf>
    <x:xf numFmtId="203" fontId="57" fillId="9" borderId="92" xfId="0" applyNumberFormat="1" applyFont="1" applyFill="1" applyBorder="1"/>
    <x:xf numFmtId="203" fontId="57" fillId="9" borderId="93" xfId="0" applyNumberFormat="1" applyFont="1" applyFill="1" applyBorder="1"/>
    <x:xf numFmtId="203" fontId="57" fillId="9" borderId="94" xfId="0" applyNumberFormat="1" applyFont="1" applyFill="1" applyBorder="1"/>
    <x:xf numFmtId="203" fontId="57" fillId="9" borderId="95" xfId="0" applyNumberFormat="1" applyFont="1" applyFill="1" applyBorder="1"/>
    <x:xf numFmtId="203" fontId="57" fillId="9" borderId="0" xfId="0" applyNumberFormat="1" applyFont="1" applyFill="1" applyBorder="1"/>
    <x:xf numFmtId="203" fontId="57" fillId="9" borderId="96" xfId="0" applyNumberFormat="1" applyFont="1" applyFill="1" applyBorder="1"/>
    <x:xf numFmtId="203" fontId="57" fillId="9" borderId="97" xfId="0" applyNumberFormat="1" applyFont="1" applyFill="1" applyBorder="1"/>
    <x:xf numFmtId="203" fontId="57" fillId="9" borderId="98" xfId="0" applyNumberFormat="1" applyFont="1" applyFill="1" applyBorder="1"/>
    <x:xf numFmtId="203" fontId="57" fillId="9" borderId="99" xfId="0" applyNumberFormat="1" applyFont="1" applyFill="1" applyBorder="1"/>
    <x:xf numFmtId="203" fontId="57" fillId="9" borderId="92" xfId="0" applyNumberFormat="1" applyFont="1" applyFill="1" applyBorder="1" applyAlignment="1">
      <x:alignment horizontal="center"/>
    </x:xf>
    <x:xf numFmtId="203" fontId="57" fillId="9" borderId="93" xfId="0" applyNumberFormat="1" applyFont="1" applyFill="1" applyBorder="1" applyAlignment="1">
      <x:alignment horizontal="center"/>
    </x:xf>
    <x:xf numFmtId="203" fontId="57" fillId="9" borderId="94" xfId="0" applyNumberFormat="1" applyFont="1" applyFill="1" applyBorder="1" applyAlignment="1">
      <x:alignment horizontal="center"/>
    </x:xf>
    <x:xf numFmtId="203" fontId="57" fillId="9" borderId="95" xfId="0" applyNumberFormat="1" applyFont="1" applyFill="1" applyBorder="1" applyAlignment="1">
      <x:alignment horizontal="center"/>
    </x:xf>
    <x:xf numFmtId="203" fontId="57" fillId="9" borderId="0" xfId="0" applyNumberFormat="1" applyFont="1" applyFill="1" applyBorder="1" applyAlignment="1">
      <x:alignment horizontal="center"/>
    </x:xf>
    <x:xf numFmtId="203" fontId="57" fillId="9" borderId="96" xfId="0" applyNumberFormat="1" applyFont="1" applyFill="1" applyBorder="1" applyAlignment="1">
      <x:alignment horizontal="center"/>
    </x:xf>
    <x:xf numFmtId="203" fontId="57" fillId="9" borderId="97" xfId="0" applyNumberFormat="1" applyFont="1" applyFill="1" applyBorder="1" applyAlignment="1">
      <x:alignment horizontal="center"/>
    </x:xf>
    <x:xf numFmtId="203" fontId="57" fillId="9" borderId="98" xfId="0" applyNumberFormat="1" applyFont="1" applyFill="1" applyBorder="1" applyAlignment="1">
      <x:alignment horizontal="center"/>
    </x:xf>
    <x:xf numFmtId="203" fontId="57" fillId="9" borderId="99" xfId="0" applyNumberFormat="1" applyFont="1" applyFill="1" applyBorder="1" applyAlignment="1">
      <x:alignment horizontal="center"/>
    </x:xf>
    <x:xf numFmtId="203" fontId="57" fillId="9" borderId="92" xfId="0" applyNumberFormat="1" applyFont="1" applyFill="1" applyBorder="1" applyAlignment="1">
      <x:alignment horizontal="center" vertical="center"/>
    </x:xf>
    <x:xf numFmtId="203" fontId="57" fillId="9" borderId="93" xfId="0" applyNumberFormat="1" applyFont="1" applyFill="1" applyBorder="1" applyAlignment="1">
      <x:alignment horizontal="center" vertical="center"/>
    </x:xf>
    <x:xf numFmtId="203" fontId="57" fillId="9" borderId="94" xfId="0" applyNumberFormat="1" applyFont="1" applyFill="1" applyBorder="1" applyAlignment="1">
      <x:alignment horizontal="center" vertical="center"/>
    </x:xf>
    <x:xf numFmtId="203" fontId="57" fillId="9" borderId="95" xfId="0" applyNumberFormat="1" applyFont="1" applyFill="1" applyBorder="1" applyAlignment="1">
      <x:alignment horizontal="center" vertical="center"/>
    </x:xf>
    <x:xf numFmtId="203" fontId="57" fillId="9" borderId="0" xfId="0" applyNumberFormat="1" applyFont="1" applyFill="1" applyBorder="1" applyAlignment="1">
      <x:alignment horizontal="center" vertical="center"/>
    </x:xf>
    <x:xf numFmtId="203" fontId="57" fillId="9" borderId="96" xfId="0" applyNumberFormat="1" applyFont="1" applyFill="1" applyBorder="1" applyAlignment="1">
      <x:alignment horizontal="center" vertical="center"/>
    </x:xf>
    <x:xf numFmtId="203" fontId="57" fillId="9" borderId="97" xfId="0" applyNumberFormat="1" applyFont="1" applyFill="1" applyBorder="1" applyAlignment="1">
      <x:alignment horizontal="center" vertical="center"/>
    </x:xf>
    <x:xf numFmtId="203" fontId="57" fillId="9" borderId="98" xfId="0" applyNumberFormat="1" applyFont="1" applyFill="1" applyBorder="1" applyAlignment="1">
      <x:alignment horizontal="center" vertical="center"/>
    </x:xf>
    <x:xf numFmtId="203" fontId="57" fillId="9" borderId="99" xfId="0" applyNumberFormat="1" applyFont="1" applyFill="1" applyBorder="1" applyAlignment="1">
      <x:alignment horizontal="center" vertical="center"/>
    </x:xf>
    <x:xf numFmtId="204" fontId="57" fillId="9" borderId="92" xfId="0" applyNumberFormat="1" applyFont="1" applyFill="1" applyBorder="1"/>
    <x:xf numFmtId="204" fontId="57" fillId="9" borderId="93" xfId="0" applyNumberFormat="1" applyFont="1" applyFill="1" applyBorder="1"/>
    <x:xf numFmtId="204" fontId="57" fillId="9" borderId="94" xfId="0" applyNumberFormat="1" applyFont="1" applyFill="1" applyBorder="1"/>
    <x:xf numFmtId="204" fontId="57" fillId="9" borderId="95" xfId="0" applyNumberFormat="1" applyFont="1" applyFill="1" applyBorder="1"/>
    <x:xf numFmtId="204" fontId="57" fillId="9" borderId="0" xfId="0" applyNumberFormat="1" applyFont="1" applyFill="1" applyBorder="1"/>
    <x:xf numFmtId="204" fontId="57" fillId="9" borderId="96" xfId="0" applyNumberFormat="1" applyFont="1" applyFill="1" applyBorder="1"/>
    <x:xf numFmtId="204" fontId="57" fillId="9" borderId="97" xfId="0" applyNumberFormat="1" applyFont="1" applyFill="1" applyBorder="1"/>
    <x:xf numFmtId="204" fontId="57" fillId="9" borderId="98" xfId="0" applyNumberFormat="1" applyFont="1" applyFill="1" applyBorder="1"/>
    <x:xf numFmtId="204" fontId="57" fillId="9" borderId="99" xfId="0" applyNumberFormat="1" applyFont="1" applyFill="1" applyBorder="1"/>
    <x:xf numFmtId="204" fontId="57" fillId="9" borderId="92" xfId="0" applyNumberFormat="1" applyFont="1" applyFill="1" applyBorder="1" applyAlignment="1">
      <x:alignment horizontal="center"/>
    </x:xf>
    <x:xf numFmtId="204" fontId="57" fillId="9" borderId="93" xfId="0" applyNumberFormat="1" applyFont="1" applyFill="1" applyBorder="1" applyAlignment="1">
      <x:alignment horizontal="center"/>
    </x:xf>
    <x:xf numFmtId="204" fontId="57" fillId="9" borderId="94" xfId="0" applyNumberFormat="1" applyFont="1" applyFill="1" applyBorder="1" applyAlignment="1">
      <x:alignment horizontal="center"/>
    </x:xf>
    <x:xf numFmtId="204" fontId="57" fillId="9" borderId="95" xfId="0" applyNumberFormat="1" applyFont="1" applyFill="1" applyBorder="1" applyAlignment="1">
      <x:alignment horizontal="center"/>
    </x:xf>
    <x:xf numFmtId="204" fontId="57" fillId="9" borderId="0" xfId="0" applyNumberFormat="1" applyFont="1" applyFill="1" applyBorder="1" applyAlignment="1">
      <x:alignment horizontal="center"/>
    </x:xf>
    <x:xf numFmtId="204" fontId="57" fillId="9" borderId="96" xfId="0" applyNumberFormat="1" applyFont="1" applyFill="1" applyBorder="1" applyAlignment="1">
      <x:alignment horizontal="center"/>
    </x:xf>
    <x:xf numFmtId="204" fontId="57" fillId="9" borderId="97" xfId="0" applyNumberFormat="1" applyFont="1" applyFill="1" applyBorder="1" applyAlignment="1">
      <x:alignment horizontal="center"/>
    </x:xf>
    <x:xf numFmtId="204" fontId="57" fillId="9" borderId="98" xfId="0" applyNumberFormat="1" applyFont="1" applyFill="1" applyBorder="1" applyAlignment="1">
      <x:alignment horizontal="center"/>
    </x:xf>
    <x:xf numFmtId="204" fontId="57" fillId="9" borderId="99" xfId="0" applyNumberFormat="1" applyFont="1" applyFill="1" applyBorder="1" applyAlignment="1">
      <x:alignment horizontal="center"/>
    </x:xf>
    <x:xf numFmtId="204" fontId="57" fillId="9" borderId="92" xfId="0" applyNumberFormat="1" applyFont="1" applyFill="1" applyBorder="1" applyAlignment="1">
      <x:alignment horizontal="center" vertical="center"/>
    </x:xf>
    <x:xf numFmtId="204" fontId="57" fillId="9" borderId="93" xfId="0" applyNumberFormat="1" applyFont="1" applyFill="1" applyBorder="1" applyAlignment="1">
      <x:alignment horizontal="center" vertical="center"/>
    </x:xf>
    <x:xf numFmtId="204" fontId="57" fillId="9" borderId="94" xfId="0" applyNumberFormat="1" applyFont="1" applyFill="1" applyBorder="1" applyAlignment="1">
      <x:alignment horizontal="center" vertical="center"/>
    </x:xf>
    <x:xf numFmtId="204" fontId="57" fillId="9" borderId="95" xfId="0" applyNumberFormat="1" applyFont="1" applyFill="1" applyBorder="1" applyAlignment="1">
      <x:alignment horizontal="center" vertical="center"/>
    </x:xf>
    <x:xf numFmtId="204" fontId="57" fillId="9" borderId="0" xfId="0" applyNumberFormat="1" applyFont="1" applyFill="1" applyBorder="1" applyAlignment="1">
      <x:alignment horizontal="center" vertical="center"/>
    </x:xf>
    <x:xf numFmtId="204" fontId="57" fillId="9" borderId="96" xfId="0" applyNumberFormat="1" applyFont="1" applyFill="1" applyBorder="1" applyAlignment="1">
      <x:alignment horizontal="center" vertical="center"/>
    </x:xf>
    <x:xf numFmtId="204" fontId="57" fillId="9" borderId="97" xfId="0" applyNumberFormat="1" applyFont="1" applyFill="1" applyBorder="1" applyAlignment="1">
      <x:alignment horizontal="center" vertical="center"/>
    </x:xf>
    <x:xf numFmtId="204" fontId="57" fillId="9" borderId="98" xfId="0" applyNumberFormat="1" applyFont="1" applyFill="1" applyBorder="1" applyAlignment="1">
      <x:alignment horizontal="center" vertical="center"/>
    </x:xf>
    <x:xf numFmtId="204" fontId="57" fillId="9" borderId="99" xfId="0" applyNumberFormat="1" applyFont="1" applyFill="1" applyBorder="1" applyAlignment="1">
      <x:alignment horizontal="center" vertical="center"/>
    </x:xf>
    <x:xf numFmtId="0" fontId="40" fillId="9" borderId="108" xfId="0" applyNumberFormat="1" applyFont="1" applyFill="1" applyBorder="1"/>
    <x:xf numFmtId="0" fontId="40" fillId="9" borderId="109" xfId="0" applyNumberFormat="1" applyFont="1" applyFill="1" applyBorder="1"/>
    <x:xf numFmtId="0" fontId="40" fillId="9" borderId="110" xfId="0" applyNumberFormat="1" applyFont="1" applyFill="1" applyBorder="1"/>
    <x:xf numFmtId="0" fontId="40" fillId="9" borderId="108" xfId="0" applyNumberFormat="1" applyFont="1" applyFill="1" applyBorder="1" applyAlignment="1">
      <x:alignment vertical="center"/>
    </x:xf>
    <x:xf numFmtId="0" fontId="40" fillId="9" borderId="109" xfId="0" applyNumberFormat="1" applyFont="1" applyFill="1" applyBorder="1" applyAlignment="1">
      <x:alignment vertical="center"/>
    </x:xf>
    <x:xf numFmtId="0" fontId="40" fillId="9" borderId="110" xfId="0" applyNumberFormat="1" applyFont="1" applyFill="1" applyBorder="1" applyAlignment="1">
      <x:alignment vertical="center"/>
    </x:xf>
    <x:xf numFmtId="0" fontId="40" fillId="9" borderId="109" xfId="0" applyNumberFormat="1" applyFont="1" applyFill="1" applyBorder="1" applyAlignment="1">
      <x:alignment vertical="center" wrapText="1"/>
    </x:xf>
    <x:xf numFmtId="201" fontId="40" fillId="9" borderId="109" xfId="0" applyNumberFormat="1" applyFont="1" applyFill="1" applyBorder="1" applyAlignment="1">
      <x:alignment vertical="center"/>
    </x:xf>
    <x:xf numFmtId="202" fontId="40" fillId="9" borderId="110" xfId="0" applyNumberFormat="1" applyFont="1" applyFill="1" applyBorder="1" applyAlignment="1">
      <x:alignment vertical="center"/>
    </x:xf>
    <x:xf numFmtId="0" fontId="40" fillId="8" borderId="0" xfId="0" applyNumberFormat="1" applyFont="1" applyFill="1" applyBorder="1"/>
    <x:xf numFmtId="0" fontId="40" fillId="8" borderId="108" xfId="0" applyNumberFormat="1" applyFont="1" applyFill="1" applyBorder="1"/>
    <x:xf numFmtId="0" fontId="40" fillId="8" borderId="109" xfId="0" applyNumberFormat="1" applyFont="1" applyFill="1" applyBorder="1"/>
    <x:xf numFmtId="0" fontId="40" fillId="8" borderId="110" xfId="0" applyNumberFormat="1" applyFont="1" applyFill="1" applyBorder="1"/>
    <x:xf numFmtId="0" fontId="40" fillId="8" borderId="108" xfId="0" applyNumberFormat="1" applyFont="1" applyFill="1" applyBorder="1" applyAlignment="1">
      <x:alignment vertical="center"/>
    </x:xf>
    <x:xf numFmtId="0" fontId="40" fillId="8" borderId="109" xfId="0" applyNumberFormat="1" applyFont="1" applyFill="1" applyBorder="1" applyAlignment="1">
      <x:alignment vertical="center"/>
    </x:xf>
    <x:xf numFmtId="0" fontId="40" fillId="8" borderId="110" xfId="0" applyNumberFormat="1" applyFont="1" applyFill="1" applyBorder="1" applyAlignment="1">
      <x:alignment vertical="center"/>
    </x:xf>
    <x:xf numFmtId="0" fontId="40" fillId="8" borderId="109" xfId="0" applyNumberFormat="1" applyFont="1" applyFill="1" applyBorder="1" applyAlignment="1">
      <x:alignment vertical="center" wrapText="1"/>
    </x:xf>
    <x:xf numFmtId="201" fontId="40" fillId="8" borderId="109" xfId="0" applyNumberFormat="1" applyFont="1" applyFill="1" applyBorder="1" applyAlignment="1">
      <x:alignment vertical="center"/>
    </x:xf>
    <x:xf numFmtId="202" fontId="40" fillId="8" borderId="110" xfId="0" applyNumberFormat="1" applyFont="1" applyFill="1" applyBorder="1" applyAlignment="1">
      <x:alignment vertical="center"/>
    </x:xf>
    <x:xf numFmtId="204" fontId="40" fillId="9" borderId="108" xfId="0" applyNumberFormat="1" applyFont="1" applyFill="1" applyBorder="1" applyAlignment="1">
      <x:alignment vertical="center"/>
    </x:xf>
    <x:xf numFmtId="204" fontId="40" fillId="8" borderId="108" xfId="0" applyNumberFormat="1" applyFont="1" applyFill="1" applyBorder="1" applyAlignment="1">
      <x:alignment vertical="center"/>
    </x:xf>
    <x:xf numFmtId="0" fontId="45" fillId="9" borderId="1" xfId="0" applyNumberFormat="1" applyFont="1" applyFill="1" applyBorder="1" applyAlignment="1">
      <x:alignment horizontal="left" vertical="center"/>
    </x:xf>
    <x:xf numFmtId="0" fontId="45" fillId="9" borderId="33" xfId="0" applyNumberFormat="1" applyFont="1" applyFill="1" applyBorder="1" applyAlignment="1">
      <x:alignment horizontal="left" vertical="center" wrapText="1"/>
    </x:xf>
    <x:xf numFmtId="0" fontId="45" fillId="9" borderId="36" xfId="0" applyNumberFormat="1" applyFont="1" applyFill="1" applyBorder="1" applyAlignment="1">
      <x:alignment horizontal="left" vertical="center"/>
    </x:xf>
    <x:xf numFmtId="0" fontId="45" fillId="9" borderId="126" xfId="0" applyNumberFormat="1" applyFont="1" applyFill="1" applyBorder="1" applyAlignment="1">
      <x:alignment horizontal="left" vertical="center" wrapText="1"/>
    </x:xf>
    <x:xf numFmtId="0" fontId="45" fillId="9" borderId="36" xfId="0" applyNumberFormat="1" applyFont="1" applyFill="1" applyBorder="1" applyAlignment="1">
      <x:alignment horizontal="left" vertical="center" wrapText="1"/>
    </x:xf>
    <x:xf numFmtId="0" fontId="45" fillId="9" borderId="28" xfId="0" applyNumberFormat="1" applyFont="1" applyFill="1" applyBorder="1" applyAlignment="1">
      <x:alignment horizontal="left" vertical="center" wrapText="1"/>
    </x:xf>
    <x:xf numFmtId="0" fontId="45" fillId="9" borderId="0" xfId="0" applyNumberFormat="1" applyFont="1" applyFill="1" applyBorder="1"/>
    <x:xf numFmtId="0" fontId="45" fillId="9" borderId="36" xfId="0" applyNumberFormat="1" applyFont="1" applyFill="1" applyBorder="1"/>
    <x:xf numFmtId="0" fontId="45" fillId="9" borderId="43" xfId="0" applyNumberFormat="1" applyFont="1" applyFill="1" applyBorder="1"/>
    <x:xf numFmtId="0" fontId="45" fillId="9" borderId="36" xfId="0" applyNumberFormat="1" applyFont="1" applyFill="1" applyBorder="1" applyAlignment="1">
      <x:alignment wrapText="1"/>
    </x:xf>
    <x:xf numFmtId="0" fontId="45" fillId="9" borderId="43" xfId="0" applyNumberFormat="1" applyFont="1" applyFill="1" applyBorder="1" applyAlignment="1">
      <x:alignment wrapText="1"/>
    </x:xf>
    <x:xf numFmtId="0" fontId="27" fillId="18" borderId="10" xfId="0" applyNumberFormat="1" applyFont="1" applyFill="1" applyBorder="1" applyAlignment="1">
      <x:alignment horizontal="center" vertical="center"/>
    </x:xf>
    <x:xf numFmtId="0" fontId="27" fillId="18" borderId="11" xfId="0" applyNumberFormat="1" applyFont="1" applyFill="1" applyBorder="1" applyAlignment="1">
      <x:alignment horizontal="center" vertical="center"/>
    </x:xf>
    <x:xf numFmtId="0" fontId="27" fillId="18" borderId="12" xfId="0" applyNumberFormat="1" applyFont="1" applyFill="1" applyBorder="1" applyAlignment="1">
      <x:alignment horizontal="center" vertical="center"/>
    </x:xf>
    <x:xf numFmtId="0" fontId="30" fillId="18" borderId="13" xfId="0" applyNumberFormat="1" applyFont="1" applyFill="1" applyBorder="1" applyAlignment="1">
      <x:alignment horizontal="center" vertical="center"/>
    </x:xf>
    <x:xf numFmtId="0" fontId="30" fillId="18" borderId="0" xfId="0" applyNumberFormat="1" applyFont="1" applyFill="1" applyBorder="1" applyAlignment="1">
      <x:alignment horizontal="center" vertical="center"/>
    </x:xf>
    <x:xf numFmtId="0" fontId="30" fillId="18" borderId="14" xfId="0" applyNumberFormat="1" applyFont="1" applyFill="1" applyBorder="1" applyAlignment="1">
      <x:alignment horizontal="center" vertical="center"/>
    </x:xf>
    <x:xf numFmtId="0" fontId="27" fillId="18" borderId="13" xfId="0" applyNumberFormat="1" applyFont="1" applyFill="1" applyBorder="1" applyAlignment="1">
      <x:alignment horizontal="center" vertical="center"/>
    </x:xf>
    <x:xf numFmtId="0" fontId="27" fillId="18" borderId="0" xfId="0" applyNumberFormat="1" applyFont="1" applyFill="1" applyBorder="1" applyAlignment="1">
      <x:alignment horizontal="center" vertical="center"/>
    </x:xf>
    <x:xf numFmtId="0" fontId="27" fillId="18" borderId="14" xfId="0" applyNumberFormat="1" applyFont="1" applyFill="1" applyBorder="1" applyAlignment="1">
      <x:alignment horizontal="center" vertical="center"/>
    </x:xf>
    <x:xf numFmtId="0" fontId="31" fillId="18" borderId="13" xfId="0" applyNumberFormat="1" applyFont="1" applyFill="1" applyBorder="1" applyAlignment="1">
      <x:alignment horizontal="center" vertical="center"/>
    </x:xf>
    <x:xf numFmtId="0" fontId="31" fillId="18" borderId="0" xfId="0" applyNumberFormat="1" applyFont="1" applyFill="1" applyBorder="1" applyAlignment="1">
      <x:alignment horizontal="center" vertical="center"/>
    </x:xf>
    <x:xf numFmtId="0" fontId="31" fillId="18" borderId="14" xfId="0" applyNumberFormat="1" applyFont="1" applyFill="1" applyBorder="1" applyAlignment="1">
      <x:alignment horizontal="center" vertical="center"/>
    </x:xf>
    <x:xf numFmtId="0" fontId="32" fillId="18" borderId="13" xfId="0" applyNumberFormat="1" applyFont="1" applyFill="1" applyBorder="1" applyAlignment="1">
      <x:alignment horizontal="center" vertical="center"/>
    </x:xf>
    <x:xf numFmtId="0" fontId="32" fillId="18" borderId="0" xfId="0" applyNumberFormat="1" applyFont="1" applyFill="1" applyBorder="1" applyAlignment="1">
      <x:alignment horizontal="center" vertical="center"/>
    </x:xf>
    <x:xf numFmtId="0" fontId="32" fillId="18" borderId="14" xfId="0" applyNumberFormat="1" applyFont="1" applyFill="1" applyBorder="1" applyAlignment="1">
      <x:alignment horizontal="center" vertical="center"/>
    </x:xf>
    <x:xf numFmtId="0" fontId="33" fillId="18" borderId="13" xfId="0" applyNumberFormat="1" applyFont="1" applyFill="1" applyBorder="1" applyAlignment="1">
      <x:alignment horizontal="center" vertical="center"/>
    </x:xf>
    <x:xf numFmtId="0" fontId="33" fillId="18" borderId="0" xfId="0" applyNumberFormat="1" applyFont="1" applyFill="1" applyBorder="1" applyAlignment="1">
      <x:alignment horizontal="center" vertical="center"/>
    </x:xf>
    <x:xf numFmtId="0" fontId="33" fillId="18" borderId="14" xfId="0" applyNumberFormat="1" applyFont="1" applyFill="1" applyBorder="1" applyAlignment="1">
      <x:alignment horizontal="center" vertical="center"/>
    </x:xf>
    <x:xf numFmtId="0" fontId="27" fillId="18" borderId="15" xfId="0" applyNumberFormat="1" applyFont="1" applyFill="1" applyBorder="1"/>
    <x:xf numFmtId="0" fontId="27" fillId="18" borderId="16" xfId="0" applyNumberFormat="1" applyFont="1" applyFill="1" applyBorder="1"/>
    <x:xf numFmtId="0" fontId="27" fillId="18" borderId="17" xfId="0" applyNumberFormat="1" applyFont="1" applyFill="1" applyBorder="1"/>
    <x:xf numFmtId="0" fontId="27" fillId="18" borderId="0" xfId="0" applyNumberFormat="1" applyFont="1" applyFill="1" applyBorder="1"/>
    <x:xf numFmtId="0" fontId="61" fillId="18" borderId="10" xfId="0" applyNumberFormat="1" applyFont="1" applyFill="1" applyBorder="1" applyAlignment="1">
      <x:alignment horizontal="center" vertical="center"/>
    </x:xf>
    <x:xf numFmtId="0" fontId="61" fillId="18" borderId="11" xfId="0" applyNumberFormat="1" applyFont="1" applyFill="1" applyBorder="1" applyAlignment="1">
      <x:alignment horizontal="center" vertical="center"/>
    </x:xf>
    <x:xf numFmtId="0" fontId="61" fillId="18" borderId="12" xfId="0" applyNumberFormat="1" applyFont="1" applyFill="1" applyBorder="1" applyAlignment="1">
      <x:alignment horizontal="center" vertical="center"/>
    </x:xf>
    <x:xf numFmtId="0" fontId="47" fillId="18" borderId="13" xfId="0" applyNumberFormat="1" applyFont="1" applyFill="1" applyBorder="1" applyAlignment="1">
      <x:alignment horizontal="center" vertical="center"/>
    </x:xf>
    <x:xf numFmtId="0" fontId="47" fillId="18" borderId="0" xfId="0" applyNumberFormat="1" applyFont="1" applyFill="1" applyBorder="1" applyAlignment="1">
      <x:alignment horizontal="center" vertical="center"/>
    </x:xf>
    <x:xf numFmtId="0" fontId="47" fillId="18" borderId="14" xfId="0" applyNumberFormat="1" applyFont="1" applyFill="1" applyBorder="1" applyAlignment="1">
      <x:alignment horizontal="center" vertical="center"/>
    </x:xf>
    <x:xf numFmtId="0" fontId="61" fillId="18" borderId="13" xfId="0" applyNumberFormat="1" applyFont="1" applyFill="1" applyBorder="1" applyAlignment="1">
      <x:alignment horizontal="center" vertical="center"/>
    </x:xf>
    <x:xf numFmtId="0" fontId="61" fillId="18" borderId="0" xfId="0" applyNumberFormat="1" applyFont="1" applyFill="1" applyBorder="1" applyAlignment="1">
      <x:alignment horizontal="center" vertical="center"/>
    </x:xf>
    <x:xf numFmtId="0" fontId="61" fillId="18" borderId="14" xfId="0" applyNumberFormat="1" applyFont="1" applyFill="1" applyBorder="1" applyAlignment="1">
      <x:alignment horizontal="center" vertical="center"/>
    </x:xf>
    <x:xf numFmtId="0" fontId="61" fillId="18" borderId="15" xfId="0" applyNumberFormat="1" applyFont="1" applyFill="1" applyBorder="1"/>
    <x:xf numFmtId="0" fontId="61" fillId="18" borderId="16" xfId="0" applyNumberFormat="1" applyFont="1" applyFill="1" applyBorder="1"/>
    <x:xf numFmtId="0" fontId="61" fillId="18" borderId="17" xfId="0" applyNumberFormat="1" applyFont="1" applyFill="1" applyBorder="1"/>
    <x:xf numFmtId="0" fontId="61" fillId="18" borderId="0" xfId="0" applyNumberFormat="1" applyFont="1" applyFill="1" applyBorder="1"/>
    <x:xf numFmtId="0" fontId="55" fillId="18" borderId="13" xfId="0" applyNumberFormat="1" applyFont="1" applyFill="1" applyBorder="1" applyAlignment="1">
      <x:alignment horizontal="center" vertical="center"/>
    </x:xf>
    <x:xf numFmtId="0" fontId="55" fillId="18" borderId="0" xfId="0" applyNumberFormat="1" applyFont="1" applyFill="1" applyBorder="1" applyAlignment="1">
      <x:alignment horizontal="center" vertical="center"/>
    </x:xf>
    <x:xf numFmtId="0" fontId="55" fillId="18" borderId="13" xfId="0" applyNumberFormat="1" applyFont="1" applyFill="1" applyBorder="1" applyAlignment="1">
      <x:alignment horizontal="center" vertical="center" wrapText="1"/>
    </x:xf>
    <x:xf numFmtId="0" fontId="55" fillId="18" borderId="0" xfId="0" applyNumberFormat="1" applyFont="1" applyFill="1" applyBorder="1" applyAlignment="1">
      <x:alignment horizontal="center" vertical="center" wrapText="1"/>
    </x:xf>
    <x:xf numFmtId="0" fontId="55" fillId="18" borderId="13" xfId="0" applyNumberFormat="1" applyFont="1" applyFill="1" applyBorder="1" applyAlignment="1">
      <x:alignment horizontal="left" vertical="center" wrapText="1"/>
    </x:xf>
    <x:xf numFmtId="0" fontId="55" fillId="18" borderId="0" xfId="0" applyNumberFormat="1" applyFont="1" applyFill="1" applyBorder="1" applyAlignment="1">
      <x:alignment horizontal="left" vertical="center" wrapText="1"/>
    </x:xf>
    <x:xf numFmtId="0" fontId="62" fillId="18" borderId="13" xfId="0" applyNumberFormat="1" applyFont="1" applyFill="1" applyBorder="1" applyAlignment="1">
      <x:alignment horizontal="center" vertical="center"/>
    </x:xf>
    <x:xf numFmtId="0" fontId="62" fillId="18" borderId="0" xfId="0" applyNumberFormat="1" applyFont="1" applyFill="1" applyBorder="1" applyAlignment="1">
      <x:alignment horizontal="center" vertical="center"/>
    </x:xf>
    <x:xf numFmtId="0" fontId="62" fillId="18" borderId="13" xfId="0" applyNumberFormat="1" applyFont="1" applyFill="1" applyBorder="1" applyAlignment="1">
      <x:alignment horizontal="left" vertical="center"/>
    </x:xf>
    <x:xf numFmtId="0" fontId="62" fillId="18" borderId="0" xfId="0" applyNumberFormat="1" applyFont="1" applyFill="1" applyBorder="1" applyAlignment="1">
      <x:alignment horizontal="left" vertical="center"/>
    </x:xf>
    <x:xf numFmtId="0" fontId="44" fillId="18" borderId="13" xfId="0" applyNumberFormat="1" applyFont="1" applyFill="1" applyBorder="1" applyAlignment="1">
      <x:alignment horizontal="center" vertical="center"/>
    </x:xf>
    <x:xf numFmtId="0" fontId="44" fillId="18" borderId="0" xfId="0" applyNumberFormat="1" applyFont="1" applyFill="1" applyBorder="1" applyAlignment="1">
      <x:alignment horizontal="center" vertical="center"/>
    </x:xf>
    <x:xf numFmtId="0" fontId="44" fillId="18" borderId="13" xfId="0" applyNumberFormat="1" applyFont="1" applyFill="1" applyBorder="1" applyAlignment="1">
      <x:alignment horizontal="left" vertical="center"/>
    </x:xf>
    <x:xf numFmtId="0" fontId="44" fillId="18" borderId="0" xfId="0" applyNumberFormat="1" applyFont="1" applyFill="1" applyBorder="1" applyAlignment="1">
      <x:alignment horizontal="left" vertical="center"/>
    </x:xf>
    <x:xf numFmtId="0" fontId="34" fillId="19" borderId="0" xfId="0" applyNumberFormat="1" applyFont="1" applyFill="1" applyBorder="1" applyAlignment="1">
      <x:alignment horizontal="center" vertical="center"/>
    </x:xf>
    <x:xf numFmtId="0" fontId="27" fillId="19" borderId="0" xfId="0" applyNumberFormat="1" applyFont="1" applyFill="1" applyBorder="1"/>
    <x:xf numFmtId="0" fontId="35" fillId="19" borderId="0" xfId="0" applyNumberFormat="1" applyFont="1" applyFill="1" applyBorder="1" applyAlignment="1">
      <x:alignment horizontal="center" vertical="center"/>
    </x:xf>
    <x:xf numFmtId="0" fontId="32" fillId="19" borderId="0" xfId="0" applyNumberFormat="1" applyFont="1" applyFill="1" applyBorder="1" applyAlignment="1">
      <x:alignment horizontal="center" vertical="center"/>
    </x:xf>
    <x:xf numFmtId="0" fontId="36" fillId="19" borderId="0" xfId="0" applyNumberFormat="1" applyFont="1" applyFill="1" applyBorder="1" applyAlignment="1">
      <x:alignment horizontal="center" vertical="center"/>
    </x:xf>
    <x:xf numFmtId="0" fontId="28" fillId="19" borderId="0" xfId="0" applyNumberFormat="1" applyFont="1" applyFill="1" applyBorder="1" applyAlignment="1">
      <x:alignment horizontal="center" vertical="center"/>
    </x:xf>
    <x:xf numFmtId="0" fontId="27" fillId="19" borderId="0" xfId="0" applyNumberFormat="1" applyFont="1" applyFill="1" applyBorder="1" applyAlignment="1">
      <x:alignment horizontal="center" vertical="center"/>
    </x:xf>
    <x:xf numFmtId="0" fontId="44" fillId="20" borderId="0" xfId="0" applyNumberFormat="1" applyFont="1" applyFill="1" applyBorder="1" applyAlignment="1">
      <x:alignment horizontal="left" vertical="center"/>
    </x:xf>
    <x:xf numFmtId="0" fontId="47" fillId="11" borderId="51" xfId="0" applyNumberFormat="1" applyFont="1" applyFill="1" applyBorder="1" applyAlignment="1">
      <x:alignment horizontal="center" vertical="center" wrapText="1"/>
    </x:xf>
    <x:xf numFmtId="200" fontId="47" fillId="11" borderId="51" xfId="0" applyNumberFormat="1" applyFont="1" applyFill="1" applyBorder="1" applyAlignment="1">
      <x:alignment horizontal="center" vertical="center" wrapText="1"/>
    </x:xf>
    <x:xf numFmtId="201" fontId="47" fillId="11" borderId="51" xfId="0" applyNumberFormat="1" applyFont="1" applyFill="1" applyBorder="1" applyAlignment="1">
      <x:alignment horizontal="center" vertical="center" wrapText="1"/>
    </x:xf>
    <x:xf numFmtId="202" fontId="47" fillId="11" borderId="52" xfId="0" applyNumberFormat="1" applyFont="1" applyFill="1" applyBorder="1" applyAlignment="1">
      <x:alignment horizontal="center" vertical="center" wrapText="1"/>
    </x:xf>
    <x:xf numFmtId="0" fontId="45" fillId="15" borderId="81" xfId="0" applyNumberFormat="1" applyFont="1" applyFill="1" applyBorder="1" applyAlignment="1">
      <x:alignment horizontal="center" vertical="center" wrapText="1"/>
    </x:xf>
    <x:xf numFmtId="200" fontId="45" fillId="15" borderId="81" xfId="0" applyNumberFormat="1" applyFont="1" applyFill="1" applyBorder="1" applyAlignment="1">
      <x:alignment horizontal="center" vertical="center" wrapText="1"/>
    </x:xf>
    <x:xf numFmtId="201" fontId="45" fillId="15" borderId="81" xfId="0" applyNumberFormat="1" applyFont="1" applyFill="1" applyBorder="1" applyAlignment="1">
      <x:alignment horizontal="center" vertical="center" wrapText="1"/>
    </x:xf>
    <x:xf numFmtId="202" fontId="45" fillId="15" borderId="82" xfId="0" applyNumberFormat="1" applyFont="1" applyFill="1" applyBorder="1" applyAlignment="1">
      <x:alignment horizontal="center" vertical="center" wrapText="1"/>
    </x:xf>
    <x:xf numFmtId="0" fontId="40" fillId="9" borderId="0" xfId="0" applyNumberFormat="1" applyFont="1" applyFill="1" applyBorder="1" applyAlignment="1">
      <x:alignment vertical="top" wrapText="1"/>
    </x:xf>
    <x:xf numFmtId="0" fontId="40" fillId="9" borderId="65" xfId="0" applyNumberFormat="1" applyFont="1" applyFill="1" applyBorder="1" applyAlignment="1">
      <x:alignment horizontal="center" vertical="top" wrapText="1"/>
    </x:xf>
    <x:xf numFmtId="0" fontId="40" fillId="8" borderId="0" xfId="0" applyNumberFormat="1" applyFont="1" applyFill="1" applyBorder="1" applyAlignment="1">
      <x:alignment vertical="top" wrapText="1"/>
    </x:xf>
    <x:xf numFmtId="0" fontId="40" fillId="8" borderId="65" xfId="0" applyNumberFormat="1" applyFont="1" applyFill="1" applyBorder="1" applyAlignment="1">
      <x:alignment horizontal="center" vertical="top" wrapText="1"/>
    </x:xf>
    <x:xf numFmtId="0" fontId="37" fillId="16" borderId="42" xfId="0" applyNumberFormat="1" applyFont="1" applyFill="1" applyBorder="1" applyAlignment="1">
      <x:alignment horizontal="center" vertical="center" wrapText="1"/>
    </x:xf>
    <x:xf numFmtId="200" fontId="37" fillId="16" borderId="42" xfId="0" applyNumberFormat="1" applyFont="1" applyFill="1" applyBorder="1" applyAlignment="1">
      <x:alignment horizontal="center" vertical="center" wrapText="1"/>
    </x:xf>
    <x:xf numFmtId="201" fontId="37" fillId="16" borderId="42" xfId="0" applyNumberFormat="1" applyFont="1" applyFill="1" applyBorder="1" applyAlignment="1">
      <x:alignment horizontal="center" vertical="center" wrapText="1"/>
    </x:xf>
    <x:xf numFmtId="202" fontId="37" fillId="16" borderId="43" xfId="0" applyNumberFormat="1" applyFont="1" applyFill="1" applyBorder="1" applyAlignment="1">
      <x:alignment horizontal="center" vertical="center" wrapText="1"/>
    </x:xf>
    <x:xf numFmtId="0" fontId="40" fillId="9" borderId="68" xfId="0" applyNumberFormat="1" applyFont="1" applyFill="1" applyBorder="1" applyAlignment="1">
      <x:alignment vertical="top" wrapText="1"/>
    </x:xf>
    <x:xf numFmtId="0" fontId="40" fillId="9" borderId="67" xfId="0" applyNumberFormat="1" applyFont="1" applyFill="1" applyBorder="1" applyAlignment="1">
      <x:alignment horizontal="center" vertical="top" wrapText="1"/>
    </x:xf>
    <x:xf numFmtId="0" fontId="44" fillId="11" borderId="50" xfId="0" applyNumberFormat="1" applyFont="1" applyFill="1" applyBorder="1" applyAlignment="1">
      <x:alignment horizontal="right" vertical="center" wrapText="1"/>
    </x:xf>
    <x:xf numFmtId="0" fontId="44" fillId="11" borderId="51" xfId="0" applyNumberFormat="1" applyFont="1" applyFill="1" applyBorder="1" applyAlignment="1">
      <x:alignment horizontal="right" vertical="center" wrapText="1"/>
    </x:xf>
    <x:xf numFmtId="201" fontId="44" fillId="11" borderId="51" xfId="0" applyNumberFormat="1" applyFont="1" applyFill="1" applyBorder="1" applyAlignment="1">
      <x:alignment horizontal="right" vertical="center" wrapText="1"/>
    </x:xf>
    <x:xf numFmtId="202" fontId="44" fillId="11" borderId="52" xfId="0" applyNumberFormat="1" applyFont="1" applyFill="1" applyBorder="1" applyAlignment="1">
      <x:alignment horizontal="right" vertical="center" wrapText="1"/>
    </x:xf>
    <x:xf numFmtId="0" fontId="48" fillId="14" borderId="0" xfId="0" applyNumberFormat="1" applyFont="1" applyFill="1" applyBorder="1" applyAlignment="1">
      <x:alignment horizontal="left" vertical="center" wrapText="1"/>
    </x:xf>
    <x:xf numFmtId="0" fontId="37" fillId="13" borderId="36" xfId="0" applyNumberFormat="1" applyFont="1" applyFill="1" applyBorder="1" applyAlignment="1">
      <x:alignment horizontal="center" vertical="center" wrapText="1"/>
    </x:xf>
    <x:xf numFmtId="0" fontId="37" fillId="13" borderId="42" xfId="0" applyNumberFormat="1" applyFont="1" applyFill="1" applyBorder="1" applyAlignment="1">
      <x:alignment horizontal="center" vertical="center" wrapText="1"/>
    </x:xf>
    <x:xf numFmtId="0" fontId="37" fillId="13" borderId="43" xfId="0" applyNumberFormat="1" applyFont="1" applyFill="1" applyBorder="1" applyAlignment="1">
      <x:alignment horizontal="center" vertical="center" wrapText="1"/>
    </x:xf>
    <x:xf numFmtId="201" fontId="49" fillId="9" borderId="86" xfId="0" applyNumberFormat="1" applyFont="1" applyFill="1" applyBorder="1" applyAlignment="1">
      <x:alignment horizontal="center" vertical="center" wrapText="1"/>
    </x:xf>
    <x:xf numFmtId="164" fontId="49" fillId="9" borderId="87" xfId="0" applyNumberFormat="1" applyFont="1" applyFill="1" applyBorder="1" applyAlignment="1">
      <x:alignment horizontal="center" vertical="center" wrapText="1"/>
    </x:xf>
    <x:xf numFmtId="201" fontId="49" fillId="9" borderId="87" xfId="0" applyNumberFormat="1" applyFont="1" applyFill="1" applyBorder="1" applyAlignment="1">
      <x:alignment horizontal="center" vertical="center" wrapText="1"/>
    </x:xf>
    <x:xf numFmtId="202" fontId="49" fillId="9" borderId="87" xfId="0" applyNumberFormat="1" applyFont="1" applyFill="1" applyBorder="1" applyAlignment="1">
      <x:alignment horizontal="center" vertical="center" wrapText="1"/>
    </x:xf>
    <x:xf numFmtId="10" fontId="49" fillId="9" borderId="87" xfId="0" applyNumberFormat="1" applyFont="1" applyFill="1" applyBorder="1" applyAlignment="1">
      <x:alignment horizontal="center" vertical="center" wrapText="1"/>
    </x:xf>
    <x:xf numFmtId="164" fontId="49" fillId="9" borderId="88" xfId="0" applyNumberFormat="1" applyFont="1" applyFill="1" applyBorder="1" applyAlignment="1">
      <x:alignment horizontal="center" vertical="center" wrapText="1"/>
    </x:xf>
    <x:xf numFmtId="0" fontId="37" fillId="13" borderId="0" xfId="0" applyNumberFormat="1" applyFont="1" applyFill="1" applyBorder="1" applyAlignment="1">
      <x:alignment horizontal="center" vertical="center" wrapText="1"/>
    </x:xf>
    <x:xf numFmtId="0" fontId="37" fillId="13" borderId="0" xfId="0" applyNumberFormat="1" applyFont="1" applyFill="1" applyBorder="1" applyAlignment="1">
      <x:alignment vertical="center" wrapText="1"/>
    </x:xf>
    <x:xf numFmtId="0" fontId="51" fillId="0" borderId="0" xfId="0" applyNumberFormat="1" applyFont="1" applyFill="1" applyBorder="1" applyAlignment="1">
      <x:alignment horizontal="center" vertical="center" wrapText="1"/>
    </x:xf>
    <x:xf numFmtId="0" fontId="51" fillId="0" borderId="0" xfId="0" applyNumberFormat="1" applyFont="1" applyFill="1" applyBorder="1" applyAlignment="1">
      <x:alignment vertical="center" wrapText="1"/>
    </x:xf>
    <x:xf numFmtId="0" fontId="52" fillId="11" borderId="0" xfId="0" applyNumberFormat="1" applyFont="1" applyFill="1" applyBorder="1" applyAlignment="1">
      <x:alignment horizontal="left" vertical="center" wrapText="1"/>
    </x:xf>
    <x:xf numFmtId="0" fontId="40" fillId="15" borderId="0" xfId="0" applyNumberFormat="1" applyFont="1" applyFill="1" applyBorder="1" applyAlignment="1">
      <x:alignment wrapText="1"/>
    </x:xf>
    <x:xf numFmtId="200" fontId="47" fillId="11" borderId="51" xfId="0" applyNumberFormat="1" applyFont="1" applyFill="1" applyBorder="1" applyAlignment="1">
      <x:alignment vertical="center" wrapText="1"/>
    </x:xf>
    <x:xf numFmtId="201" fontId="47" fillId="11" borderId="51" xfId="0" applyNumberFormat="1" applyFont="1" applyFill="1" applyBorder="1" applyAlignment="1">
      <x:alignment vertical="center" wrapText="1"/>
    </x:xf>
    <x:xf numFmtId="202" fontId="47" fillId="11" borderId="51" xfId="0" applyNumberFormat="1" applyFont="1" applyFill="1" applyBorder="1" applyAlignment="1">
      <x:alignment vertical="center" wrapText="1"/>
    </x:xf>
    <x:xf numFmtId="201" fontId="47" fillId="11" borderId="52" xfId="0" applyNumberFormat="1" applyFont="1" applyFill="1" applyBorder="1" applyAlignment="1">
      <x:alignment vertical="center" wrapText="1"/>
    </x:xf>
    <x:xf numFmtId="200" fontId="45" fillId="15" borderId="81" xfId="0" applyNumberFormat="1" applyFont="1" applyFill="1" applyBorder="1" applyAlignment="1">
      <x:alignment vertical="center" wrapText="1"/>
    </x:xf>
    <x:xf numFmtId="201" fontId="45" fillId="15" borderId="81" xfId="0" applyNumberFormat="1" applyFont="1" applyFill="1" applyBorder="1" applyAlignment="1">
      <x:alignment vertical="center" wrapText="1"/>
    </x:xf>
    <x:xf numFmtId="202" fontId="45" fillId="15" borderId="81" xfId="0" applyNumberFormat="1" applyFont="1" applyFill="1" applyBorder="1" applyAlignment="1">
      <x:alignment vertical="center" wrapText="1"/>
    </x:xf>
    <x:xf numFmtId="201" fontId="45" fillId="15" borderId="82" xfId="0" applyNumberFormat="1" applyFont="1" applyFill="1" applyBorder="1" applyAlignment="1">
      <x:alignment vertical="center" wrapText="1"/>
    </x:xf>
    <x:xf numFmtId="200" fontId="37" fillId="16" borderId="42" xfId="0" applyNumberFormat="1" applyFont="1" applyFill="1" applyBorder="1" applyAlignment="1">
      <x:alignment vertical="center" wrapText="1"/>
    </x:xf>
    <x:xf numFmtId="201" fontId="37" fillId="16" borderId="42" xfId="0" applyNumberFormat="1" applyFont="1" applyFill="1" applyBorder="1" applyAlignment="1">
      <x:alignment vertical="center" wrapText="1"/>
    </x:xf>
    <x:xf numFmtId="202" fontId="37" fillId="16" borderId="42" xfId="0" applyNumberFormat="1" applyFont="1" applyFill="1" applyBorder="1" applyAlignment="1">
      <x:alignment vertical="center" wrapText="1"/>
    </x:xf>
    <x:xf numFmtId="201" fontId="37" fillId="16" borderId="43" xfId="0" applyNumberFormat="1" applyFont="1" applyFill="1" applyBorder="1" applyAlignment="1">
      <x:alignment vertical="center" wrapText="1"/>
    </x:xf>
    <x:xf numFmtId="202" fontId="44" fillId="11" borderId="51" xfId="0" applyNumberFormat="1" applyFont="1" applyFill="1" applyBorder="1" applyAlignment="1">
      <x:alignment horizontal="right" vertical="center" wrapText="1"/>
    </x:xf>
    <x:xf numFmtId="201" fontId="44" fillId="11" borderId="52" xfId="0" applyNumberFormat="1" applyFont="1" applyFill="1" applyBorder="1" applyAlignment="1">
      <x:alignment horizontal="right" vertical="center" wrapText="1"/>
    </x:xf>
    <x:xf numFmtId="0" fontId="40" fillId="9" borderId="65" xfId="0" applyNumberFormat="1" applyFont="1" applyFill="1" applyBorder="1" applyAlignment="1">
      <x:alignment vertical="top" wrapText="1"/>
    </x:xf>
    <x:xf numFmtId="0" fontId="40" fillId="8" borderId="65" xfId="0" applyNumberFormat="1" applyFont="1" applyFill="1" applyBorder="1" applyAlignment="1">
      <x:alignment vertical="top" wrapText="1"/>
    </x:xf>
    <x:xf numFmtId="0" fontId="40" fillId="9" borderId="67" xfId="0" applyNumberFormat="1" applyFont="1" applyFill="1" applyBorder="1" applyAlignment="1">
      <x:alignment vertical="top" wrapText="1"/>
    </x:xf>
    <x:xf numFmtId="200" fontId="40" fillId="9" borderId="68" xfId="0" applyNumberFormat="1" applyFont="1" applyFill="1" applyBorder="1" applyAlignment="1">
      <x:alignment vertical="center" wrapText="1"/>
    </x:xf>
    <x:xf numFmtId="201" fontId="40" fillId="9" borderId="68" xfId="0" applyNumberFormat="1" applyFont="1" applyFill="1" applyBorder="1" applyAlignment="1">
      <x:alignment vertical="center" wrapText="1"/>
    </x:xf>
    <x:xf numFmtId="201" fontId="40" fillId="9" borderId="69" xfId="0" applyNumberFormat="1" applyFont="1" applyFill="1" applyBorder="1" applyAlignment="1">
      <x:alignment vertical="center" wrapText="1"/>
    </x:xf>
    <x:xf numFmtId="0" fontId="55" fillId="11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51" fillId="12" borderId="0" xfId="0" applyNumberFormat="1" applyFont="1" applyFill="1" applyBorder="1" applyAlignment="1">
      <x:alignment horizontal="center" vertical="center" wrapText="1"/>
    </x:xf>
    <x:xf numFmtId="0" fontId="54" fillId="9" borderId="0" xfId="0" applyNumberFormat="1" applyFont="1" applyFill="1" applyBorder="1" applyAlignment="1">
      <x:alignment wrapText="1"/>
    </x:xf>
    <x:xf numFmtId="201" fontId="56" fillId="8" borderId="92" xfId="0" applyNumberFormat="1" applyFont="1" applyFill="1" applyBorder="1" applyAlignment="1">
      <x:alignment horizontal="center" vertical="center" wrapText="1"/>
    </x:xf>
    <x:xf numFmtId="201" fontId="56" fillId="8" borderId="93" xfId="0" applyNumberFormat="1" applyFont="1" applyFill="1" applyBorder="1" applyAlignment="1">
      <x:alignment horizontal="center" vertical="center" wrapText="1"/>
    </x:xf>
    <x:xf numFmtId="201" fontId="56" fillId="8" borderId="94" xfId="0" applyNumberFormat="1" applyFont="1" applyFill="1" applyBorder="1" applyAlignment="1">
      <x:alignment horizontal="center" vertical="center" wrapText="1"/>
    </x:xf>
    <x:xf numFmtId="201" fontId="56" fillId="8" borderId="95" xfId="0" applyNumberFormat="1" applyFont="1" applyFill="1" applyBorder="1" applyAlignment="1">
      <x:alignment horizontal="center" vertical="center" wrapText="1"/>
    </x:xf>
    <x:xf numFmtId="201" fontId="56" fillId="8" borderId="0" xfId="0" applyNumberFormat="1" applyFont="1" applyFill="1" applyBorder="1" applyAlignment="1">
      <x:alignment horizontal="center" vertical="center" wrapText="1"/>
    </x:xf>
    <x:xf numFmtId="201" fontId="56" fillId="8" borderId="96" xfId="0" applyNumberFormat="1" applyFont="1" applyFill="1" applyBorder="1" applyAlignment="1">
      <x:alignment horizontal="center" vertical="center" wrapText="1"/>
    </x:xf>
    <x:xf numFmtId="201" fontId="56" fillId="8" borderId="97" xfId="0" applyNumberFormat="1" applyFont="1" applyFill="1" applyBorder="1" applyAlignment="1">
      <x:alignment horizontal="center" vertical="center" wrapText="1"/>
    </x:xf>
    <x:xf numFmtId="201" fontId="56" fillId="8" borderId="98" xfId="0" applyNumberFormat="1" applyFont="1" applyFill="1" applyBorder="1" applyAlignment="1">
      <x:alignment horizontal="center" vertical="center" wrapText="1"/>
    </x:xf>
    <x:xf numFmtId="201" fontId="56" fillId="8" borderId="99" xfId="0" applyNumberFormat="1" applyFont="1" applyFill="1" applyBorder="1" applyAlignment="1">
      <x:alignment horizontal="center" vertical="center" wrapText="1"/>
    </x:xf>
    <x:xf numFmtId="202" fontId="57" fillId="9" borderId="92" xfId="0" applyNumberFormat="1" applyFont="1" applyFill="1" applyBorder="1" applyAlignment="1">
      <x:alignment horizontal="center" vertical="center" wrapText="1"/>
    </x:xf>
    <x:xf numFmtId="202" fontId="57" fillId="9" borderId="93" xfId="0" applyNumberFormat="1" applyFont="1" applyFill="1" applyBorder="1" applyAlignment="1">
      <x:alignment horizontal="center" vertical="center" wrapText="1"/>
    </x:xf>
    <x:xf numFmtId="202" fontId="57" fillId="9" borderId="94" xfId="0" applyNumberFormat="1" applyFont="1" applyFill="1" applyBorder="1" applyAlignment="1">
      <x:alignment horizontal="center" vertical="center" wrapText="1"/>
    </x:xf>
    <x:xf numFmtId="203" fontId="57" fillId="9" borderId="92" xfId="0" applyNumberFormat="1" applyFont="1" applyFill="1" applyBorder="1" applyAlignment="1">
      <x:alignment horizontal="center" vertical="center" wrapText="1"/>
    </x:xf>
    <x:xf numFmtId="203" fontId="57" fillId="9" borderId="93" xfId="0" applyNumberFormat="1" applyFont="1" applyFill="1" applyBorder="1" applyAlignment="1">
      <x:alignment horizontal="center" vertical="center" wrapText="1"/>
    </x:xf>
    <x:xf numFmtId="203" fontId="57" fillId="9" borderId="94" xfId="0" applyNumberFormat="1" applyFont="1" applyFill="1" applyBorder="1" applyAlignment="1">
      <x:alignment horizontal="center" vertical="center" wrapText="1"/>
    </x:xf>
    <x:xf numFmtId="204" fontId="57" fillId="9" borderId="92" xfId="0" applyNumberFormat="1" applyFont="1" applyFill="1" applyBorder="1" applyAlignment="1">
      <x:alignment horizontal="center" vertical="center" wrapText="1"/>
    </x:xf>
    <x:xf numFmtId="204" fontId="57" fillId="9" borderId="93" xfId="0" applyNumberFormat="1" applyFont="1" applyFill="1" applyBorder="1" applyAlignment="1">
      <x:alignment horizontal="center" vertical="center" wrapText="1"/>
    </x:xf>
    <x:xf numFmtId="204" fontId="57" fillId="9" borderId="94" xfId="0" applyNumberFormat="1" applyFont="1" applyFill="1" applyBorder="1" applyAlignment="1">
      <x:alignment horizontal="center" vertical="center" wrapText="1"/>
    </x:xf>
    <x:xf numFmtId="202" fontId="57" fillId="9" borderId="95" xfId="0" applyNumberFormat="1" applyFont="1" applyFill="1" applyBorder="1" applyAlignment="1">
      <x:alignment horizontal="center" vertical="center" wrapText="1"/>
    </x:xf>
    <x:xf numFmtId="202" fontId="57" fillId="9" borderId="0" xfId="0" applyNumberFormat="1" applyFont="1" applyFill="1" applyBorder="1" applyAlignment="1">
      <x:alignment horizontal="center" vertical="center" wrapText="1"/>
    </x:xf>
    <x:xf numFmtId="202" fontId="57" fillId="9" borderId="96" xfId="0" applyNumberFormat="1" applyFont="1" applyFill="1" applyBorder="1" applyAlignment="1">
      <x:alignment horizontal="center" vertical="center" wrapText="1"/>
    </x:xf>
    <x:xf numFmtId="203" fontId="57" fillId="9" borderId="95" xfId="0" applyNumberFormat="1" applyFont="1" applyFill="1" applyBorder="1" applyAlignment="1">
      <x:alignment horizontal="center" vertical="center" wrapText="1"/>
    </x:xf>
    <x:xf numFmtId="203" fontId="57" fillId="9" borderId="0" xfId="0" applyNumberFormat="1" applyFont="1" applyFill="1" applyBorder="1" applyAlignment="1">
      <x:alignment horizontal="center" vertical="center" wrapText="1"/>
    </x:xf>
    <x:xf numFmtId="203" fontId="57" fillId="9" borderId="96" xfId="0" applyNumberFormat="1" applyFont="1" applyFill="1" applyBorder="1" applyAlignment="1">
      <x:alignment horizontal="center" vertical="center" wrapText="1"/>
    </x:xf>
    <x:xf numFmtId="204" fontId="57" fillId="9" borderId="95" xfId="0" applyNumberFormat="1" applyFont="1" applyFill="1" applyBorder="1" applyAlignment="1">
      <x:alignment horizontal="center" vertical="center" wrapText="1"/>
    </x:xf>
    <x:xf numFmtId="204" fontId="57" fillId="9" borderId="0" xfId="0" applyNumberFormat="1" applyFont="1" applyFill="1" applyBorder="1" applyAlignment="1">
      <x:alignment horizontal="center" vertical="center" wrapText="1"/>
    </x:xf>
    <x:xf numFmtId="204" fontId="57" fillId="9" borderId="96" xfId="0" applyNumberFormat="1" applyFont="1" applyFill="1" applyBorder="1" applyAlignment="1">
      <x:alignment horizontal="center" vertical="center" wrapText="1"/>
    </x:xf>
    <x:xf numFmtId="202" fontId="57" fillId="9" borderId="97" xfId="0" applyNumberFormat="1" applyFont="1" applyFill="1" applyBorder="1" applyAlignment="1">
      <x:alignment horizontal="center" vertical="center" wrapText="1"/>
    </x:xf>
    <x:xf numFmtId="202" fontId="57" fillId="9" borderId="98" xfId="0" applyNumberFormat="1" applyFont="1" applyFill="1" applyBorder="1" applyAlignment="1">
      <x:alignment horizontal="center" vertical="center" wrapText="1"/>
    </x:xf>
    <x:xf numFmtId="202" fontId="57" fillId="9" borderId="99" xfId="0" applyNumberFormat="1" applyFont="1" applyFill="1" applyBorder="1" applyAlignment="1">
      <x:alignment horizontal="center" vertical="center" wrapText="1"/>
    </x:xf>
    <x:xf numFmtId="203" fontId="57" fillId="9" borderId="97" xfId="0" applyNumberFormat="1" applyFont="1" applyFill="1" applyBorder="1" applyAlignment="1">
      <x:alignment horizontal="center" vertical="center" wrapText="1"/>
    </x:xf>
    <x:xf numFmtId="203" fontId="57" fillId="9" borderId="98" xfId="0" applyNumberFormat="1" applyFont="1" applyFill="1" applyBorder="1" applyAlignment="1">
      <x:alignment horizontal="center" vertical="center" wrapText="1"/>
    </x:xf>
    <x:xf numFmtId="203" fontId="57" fillId="9" borderId="99" xfId="0" applyNumberFormat="1" applyFont="1" applyFill="1" applyBorder="1" applyAlignment="1">
      <x:alignment horizontal="center" vertical="center" wrapText="1"/>
    </x:xf>
    <x:xf numFmtId="204" fontId="57" fillId="9" borderId="97" xfId="0" applyNumberFormat="1" applyFont="1" applyFill="1" applyBorder="1" applyAlignment="1">
      <x:alignment horizontal="center" vertical="center" wrapText="1"/>
    </x:xf>
    <x:xf numFmtId="204" fontId="57" fillId="9" borderId="98" xfId="0" applyNumberFormat="1" applyFont="1" applyFill="1" applyBorder="1" applyAlignment="1">
      <x:alignment horizontal="center" vertical="center" wrapText="1"/>
    </x:xf>
    <x:xf numFmtId="204" fontId="57" fillId="9" borderId="99" xfId="0" applyNumberFormat="1" applyFont="1" applyFill="1" applyBorder="1" applyAlignment="1">
      <x:alignment horizontal="center" vertical="center" wrapText="1"/>
    </x:xf>
    <x:xf numFmtId="0" fontId="48" fillId="11" borderId="0" xfId="0" applyNumberFormat="1" applyFont="1" applyFill="1" applyBorder="1" applyAlignment="1">
      <x:alignment vertical="center" wrapText="1"/>
    </x:xf>
    <x:xf numFmtId="204" fontId="40" fillId="9" borderId="108" xfId="0" applyNumberFormat="1" applyFont="1" applyFill="1" applyBorder="1" applyAlignment="1">
      <x:alignment vertical="center" wrapText="1"/>
    </x:xf>
    <x:xf numFmtId="201" fontId="40" fillId="9" borderId="109" xfId="0" applyNumberFormat="1" applyFont="1" applyFill="1" applyBorder="1" applyAlignment="1">
      <x:alignment vertical="center" wrapText="1"/>
    </x:xf>
    <x:xf numFmtId="202" fontId="40" fillId="9" borderId="110" xfId="0" applyNumberFormat="1" applyFont="1" applyFill="1" applyBorder="1" applyAlignment="1">
      <x:alignment vertical="center" wrapText="1"/>
    </x:xf>
    <x:xf numFmtId="0" fontId="60" fillId="0" borderId="0" xfId="0" applyNumberFormat="1" applyFont="1" applyFill="1" applyBorder="1" applyAlignment="1">
      <x:alignment wrapText="1"/>
    </x:xf>
    <x:xf numFmtId="204" fontId="40" fillId="8" borderId="108" xfId="0" applyNumberFormat="1" applyFont="1" applyFill="1" applyBorder="1" applyAlignment="1">
      <x:alignment vertical="center" wrapText="1"/>
    </x:xf>
    <x:xf numFmtId="201" fontId="40" fillId="8" borderId="109" xfId="0" applyNumberFormat="1" applyFont="1" applyFill="1" applyBorder="1" applyAlignment="1">
      <x:alignment vertical="center" wrapText="1"/>
    </x:xf>
    <x:xf numFmtId="202" fontId="40" fillId="8" borderId="110" xfId="0" applyNumberFormat="1" applyFont="1" applyFill="1" applyBorder="1" applyAlignment="1">
      <x:alignment vertical="center" wrapText="1"/>
    </x:xf>
    <x:xf numFmtId="0" fontId="33" fillId="11" borderId="13" xfId="0" applyNumberFormat="1" applyFont="1" applyFill="1" applyBorder="1" applyAlignment="1">
      <x:alignment horizontal="center" vertical="center"/>
    </x:xf>
    <x:xf numFmtId="0" fontId="33" fillId="11" borderId="0" xfId="0" applyNumberFormat="1" applyFont="1" applyFill="1" applyBorder="1" applyAlignment="1">
      <x:alignment horizontal="center" vertical="center"/>
    </x:xf>
    <x:xf numFmtId="0" fontId="33" fillId="11" borderId="14" xfId="0" applyNumberFormat="1" applyFont="1" applyFill="1" applyBorder="1" applyAlignment="1">
      <x:alignment horizontal="center" vertical="center"/>
    </x:xf>
    <x:xf numFmtId="0" fontId="61" fillId="11" borderId="10" xfId="0" applyNumberFormat="1" applyFont="1" applyFill="1" applyBorder="1" applyAlignment="1">
      <x:alignment horizontal="center" vertical="center"/>
    </x:xf>
    <x:xf numFmtId="0" fontId="61" fillId="11" borderId="11" xfId="0" applyNumberFormat="1" applyFont="1" applyFill="1" applyBorder="1" applyAlignment="1">
      <x:alignment horizontal="center" vertical="center"/>
    </x:xf>
    <x:xf numFmtId="0" fontId="61" fillId="11" borderId="12" xfId="0" applyNumberFormat="1" applyFont="1" applyFill="1" applyBorder="1" applyAlignment="1">
      <x:alignment horizontal="center" vertical="center"/>
    </x:xf>
    <x:xf numFmtId="0" fontId="47" fillId="11" borderId="13" xfId="0" applyNumberFormat="1" applyFont="1" applyFill="1" applyBorder="1" applyAlignment="1">
      <x:alignment horizontal="center" vertical="center"/>
    </x:xf>
    <x:xf numFmtId="0" fontId="47" fillId="11" borderId="0" xfId="0" applyNumberFormat="1" applyFont="1" applyFill="1" applyBorder="1" applyAlignment="1">
      <x:alignment horizontal="center" vertical="center"/>
    </x:xf>
    <x:xf numFmtId="0" fontId="47" fillId="11" borderId="14" xfId="0" applyNumberFormat="1" applyFont="1" applyFill="1" applyBorder="1" applyAlignment="1">
      <x:alignment horizontal="center" vertical="center"/>
    </x:xf>
    <x:xf numFmtId="0" fontId="61" fillId="11" borderId="13" xfId="0" applyNumberFormat="1" applyFont="1" applyFill="1" applyBorder="1" applyAlignment="1">
      <x:alignment horizontal="center" vertical="center"/>
    </x:xf>
    <x:xf numFmtId="0" fontId="61" fillId="11" borderId="0" xfId="0" applyNumberFormat="1" applyFont="1" applyFill="1" applyBorder="1" applyAlignment="1">
      <x:alignment horizontal="center" vertical="center"/>
    </x:xf>
    <x:xf numFmtId="0" fontId="61" fillId="11" borderId="14" xfId="0" applyNumberFormat="1" applyFont="1" applyFill="1" applyBorder="1" applyAlignment="1">
      <x:alignment horizontal="center" vertical="center"/>
    </x:xf>
    <x:xf numFmtId="0" fontId="61" fillId="11" borderId="15" xfId="0" applyNumberFormat="1" applyFont="1" applyFill="1" applyBorder="1"/>
    <x:xf numFmtId="0" fontId="61" fillId="11" borderId="16" xfId="0" applyNumberFormat="1" applyFont="1" applyFill="1" applyBorder="1"/>
    <x:xf numFmtId="0" fontId="61" fillId="11" borderId="17" xfId="0" applyNumberFormat="1" applyFont="1" applyFill="1" applyBorder="1"/>
    <x:xf numFmtId="0" fontId="61" fillId="11" borderId="0" xfId="0" applyNumberFormat="1" applyFont="1" applyFill="1" applyBorder="1"/>
    <x:xf numFmtId="0" fontId="55" fillId="11" borderId="13" xfId="0" applyNumberFormat="1" applyFont="1" applyFill="1" applyBorder="1" applyAlignment="1">
      <x:alignment horizontal="center" vertical="center"/>
    </x:xf>
    <x:xf numFmtId="0" fontId="55" fillId="11" borderId="13" xfId="0" applyNumberFormat="1" applyFont="1" applyFill="1" applyBorder="1" applyAlignment="1">
      <x:alignment horizontal="center" vertical="center" wrapText="1"/>
    </x:xf>
    <x:xf numFmtId="0" fontId="55" fillId="11" borderId="13" xfId="0" applyNumberFormat="1" applyFont="1" applyFill="1" applyBorder="1" applyAlignment="1">
      <x:alignment horizontal="left" vertical="center" wrapText="1"/>
    </x:xf>
    <x:xf numFmtId="0" fontId="55" fillId="11" borderId="0" xfId="0" applyNumberFormat="1" applyFont="1" applyFill="1" applyBorder="1" applyAlignment="1">
      <x:alignment horizontal="left" vertical="center" wrapText="1"/>
    </x:xf>
    <x:xf numFmtId="0" fontId="62" fillId="11" borderId="13" xfId="0" applyNumberFormat="1" applyFont="1" applyFill="1" applyBorder="1" applyAlignment="1">
      <x:alignment horizontal="center" vertical="center"/>
    </x:xf>
    <x:xf numFmtId="0" fontId="62" fillId="11" borderId="0" xfId="0" applyNumberFormat="1" applyFont="1" applyFill="1" applyBorder="1" applyAlignment="1">
      <x:alignment horizontal="center" vertical="center"/>
    </x:xf>
    <x:xf numFmtId="0" fontId="62" fillId="11" borderId="13" xfId="0" applyNumberFormat="1" applyFont="1" applyFill="1" applyBorder="1" applyAlignment="1">
      <x:alignment horizontal="left" vertical="center"/>
    </x:xf>
    <x:xf numFmtId="0" fontId="62" fillId="11" borderId="0" xfId="0" applyNumberFormat="1" applyFont="1" applyFill="1" applyBorder="1" applyAlignment="1">
      <x:alignment horizontal="left" vertical="center"/>
    </x:xf>
    <x:xf numFmtId="0" fontId="44" fillId="11" borderId="13" xfId="0" applyNumberFormat="1" applyFont="1" applyFill="1" applyBorder="1" applyAlignment="1">
      <x:alignment horizontal="center" vertical="center"/>
    </x:xf>
    <x:xf numFmtId="0" fontId="44" fillId="11" borderId="0" xfId="0" applyNumberFormat="1" applyFont="1" applyFill="1" applyBorder="1" applyAlignment="1">
      <x:alignment horizontal="center" vertical="center"/>
    </x:xf>
    <x:xf numFmtId="0" fontId="44" fillId="11" borderId="13" xfId="0" applyNumberFormat="1" applyFont="1" applyFill="1" applyBorder="1" applyAlignment="1">
      <x:alignment horizontal="left" vertical="center"/>
    </x:xf>
    <x:xf numFmtId="0" fontId="44" fillId="11" borderId="0" xfId="0" applyNumberFormat="1" applyFont="1" applyFill="1" applyBorder="1" applyAlignment="1">
      <x:alignment horizontal="left" vertical="center"/>
    </x:xf>
    <x:xf numFmtId="0" fontId="61" fillId="21" borderId="10" xfId="0" applyNumberFormat="1" applyFont="1" applyFill="1" applyBorder="1" applyAlignment="1">
      <x:alignment horizontal="center" vertical="center"/>
    </x:xf>
    <x:xf numFmtId="0" fontId="61" fillId="21" borderId="11" xfId="0" applyNumberFormat="1" applyFont="1" applyFill="1" applyBorder="1" applyAlignment="1">
      <x:alignment horizontal="center" vertical="center"/>
    </x:xf>
    <x:xf numFmtId="0" fontId="61" fillId="21" borderId="12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 applyAlignment="1">
      <x:alignment horizontal="center" vertical="center"/>
    </x:xf>
    <x:xf numFmtId="0" fontId="47" fillId="21" borderId="13" xfId="0" applyNumberFormat="1" applyFont="1" applyFill="1" applyBorder="1" applyAlignment="1">
      <x:alignment horizontal="center" vertical="center"/>
    </x:xf>
    <x:xf numFmtId="0" fontId="47" fillId="21" borderId="0" xfId="0" applyNumberFormat="1" applyFont="1" applyFill="1" applyBorder="1" applyAlignment="1">
      <x:alignment horizontal="center" vertical="center"/>
    </x:xf>
    <x:xf numFmtId="0" fontId="47" fillId="21" borderId="14" xfId="0" applyNumberFormat="1" applyFont="1" applyFill="1" applyBorder="1" applyAlignment="1">
      <x:alignment horizontal="center" vertical="center"/>
    </x:xf>
    <x:xf numFmtId="0" fontId="55" fillId="21" borderId="13" xfId="0" applyNumberFormat="1" applyFont="1" applyFill="1" applyBorder="1" applyAlignment="1">
      <x:alignment horizontal="left" vertical="center" wrapText="1"/>
    </x:xf>
    <x:xf numFmtId="0" fontId="55" fillId="21" borderId="0" xfId="0" applyNumberFormat="1" applyFont="1" applyFill="1" applyBorder="1" applyAlignment="1">
      <x:alignment horizontal="left" vertical="center" wrapText="1"/>
    </x:xf>
    <x:xf numFmtId="0" fontId="61" fillId="21" borderId="0" xfId="0" applyNumberFormat="1" applyFont="1" applyFill="1" applyBorder="1" applyAlignment="1">
      <x:alignment horizontal="center" vertical="center"/>
    </x:xf>
    <x:xf numFmtId="0" fontId="61" fillId="21" borderId="14" xfId="0" applyNumberFormat="1" applyFont="1" applyFill="1" applyBorder="1" applyAlignment="1">
      <x:alignment horizontal="center" vertical="center"/>
    </x:xf>
    <x:xf numFmtId="0" fontId="61" fillId="21" borderId="13" xfId="0" applyNumberFormat="1" applyFont="1" applyFill="1" applyBorder="1" applyAlignment="1">
      <x:alignment horizontal="center" vertical="center"/>
    </x:xf>
    <x:xf numFmtId="0" fontId="62" fillId="21" borderId="13" xfId="0" applyNumberFormat="1" applyFont="1" applyFill="1" applyBorder="1" applyAlignment="1">
      <x:alignment horizontal="left" vertical="center"/>
    </x:xf>
    <x:xf numFmtId="0" fontId="62" fillId="21" borderId="0" xfId="0" applyNumberFormat="1" applyFont="1" applyFill="1" applyBorder="1" applyAlignment="1">
      <x:alignment horizontal="left" vertical="center"/>
    </x:xf>
    <x:xf numFmtId="0" fontId="44" fillId="21" borderId="13" xfId="0" applyNumberFormat="1" applyFont="1" applyFill="1" applyBorder="1" applyAlignment="1">
      <x:alignment horizontal="left" vertical="center"/>
    </x:xf>
    <x:xf numFmtId="0" fontId="44" fillId="21" borderId="0" xfId="0" applyNumberFormat="1" applyFont="1" applyFill="1" applyBorder="1" applyAlignment="1">
      <x:alignment horizontal="left" vertical="center"/>
    </x:xf>
    <x:xf numFmtId="0" fontId="61" fillId="21" borderId="15" xfId="0" applyNumberFormat="1" applyFont="1" applyFill="1" applyBorder="1"/>
    <x:xf numFmtId="0" fontId="61" fillId="21" borderId="16" xfId="0" applyNumberFormat="1" applyFont="1" applyFill="1" applyBorder="1"/>
    <x:xf numFmtId="0" fontId="61" fillId="21" borderId="17" xfId="0" applyNumberFormat="1" applyFont="1" applyFill="1" applyBorder="1"/>
    <x:xf numFmtId="0" fontId="0" fillId="21" borderId="0" xfId="0" applyNumberFormat="1" applyFont="1" applyFill="1" applyBorder="1"/>
    <x:xf numFmtId="0" fontId="61" fillId="21" borderId="0" xfId="0" applyNumberFormat="1" applyFont="1" applyFill="1" applyBorder="1"/>
    <x:xf numFmtId="0" fontId="27" fillId="21" borderId="0" xfId="0" applyNumberFormat="1" applyFont="1" applyFill="1" applyBorder="1"/>
    <x:xf numFmtId="0" fontId="28" fillId="21" borderId="0" xfId="0" applyNumberFormat="1" applyFont="1" applyFill="1" applyBorder="1" applyAlignment="1">
      <x:alignment horizontal="center" vertical="center"/>
    </x:xf>
    <x:xf numFmtId="0" fontId="1" fillId="21" borderId="0" xfId="0" applyNumberFormat="1" applyFont="1" applyFill="1" applyBorder="1" applyAlignment="1">
      <x:alignment horizontal="center" vertical="center"/>
    </x:xf>
    <x:xf numFmtId="0" fontId="2" fillId="21" borderId="0" xfId="0" applyNumberFormat="1" applyFont="1" applyFill="1" applyBorder="1" applyAlignment="1">
      <x:alignment horizontal="center" vertical="center"/>
    </x:xf>
    <x:xf numFmtId="0" fontId="3" fillId="21" borderId="0" xfId="0" applyNumberFormat="1" applyFont="1" applyFill="1" applyBorder="1" applyAlignment="1">
      <x:alignment horizontal="center" vertical="center"/>
    </x:xf>
    <x:xf numFmtId="0" fontId="27" fillId="21" borderId="0" xfId="0" applyNumberFormat="1" applyFont="1" applyFill="1" applyBorder="1" applyAlignment="1">
      <x:alignment horizontal="center" vertical="center"/>
    </x:xf>
    <x:xf numFmtId="0" fontId="4" fillId="21" borderId="0" xfId="0" applyNumberFormat="1" applyFont="1" applyFill="1" applyBorder="1" applyAlignment="1">
      <x:alignment horizontal="center" vertical="center"/>
    </x:xf>
    <x:xf numFmtId="0" fontId="59" fillId="21" borderId="0" xfId="0" applyNumberFormat="1" applyFont="1" applyFill="1" applyBorder="1" applyAlignment="1">
      <x:alignment horizontal="center" vertical="center"/>
    </x:xf>
    <x:xf numFmtId="0" fontId="59" fillId="21" borderId="26" xfId="0" applyNumberFormat="1" applyFont="1" applyFill="1" applyBorder="1" applyAlignment="1">
      <x:alignment horizontal="center" vertical="center" wrapText="1"/>
    </x:xf>
    <x:xf numFmtId="0" fontId="59" fillId="21" borderId="1" xfId="0" applyNumberFormat="1" applyFont="1" applyFill="1" applyBorder="1" applyAlignment="1">
      <x:alignment horizontal="center" vertical="center"/>
    </x:xf>
    <x:xf numFmtId="0" fontId="59" fillId="21" borderId="32" xfId="0" applyNumberFormat="1" applyFont="1" applyFill="1" applyBorder="1" applyAlignment="1">
      <x:alignment horizontal="center" vertical="center" wrapText="1"/>
    </x:xf>
    <x:xf numFmtId="0" fontId="6" fillId="21" borderId="2" xfId="0" applyNumberFormat="1" applyFont="1" applyFill="1" applyBorder="1" applyAlignment="1">
      <x:alignment horizontal="left" vertical="center" wrapText="1"/>
    </x:xf>
    <x:xf numFmtId="0" fontId="51" fillId="21" borderId="0" xfId="0" applyNumberFormat="1" applyFont="1" applyFill="1" applyBorder="1" applyAlignment="1">
      <x:alignment horizontal="center" vertical="center"/>
    </x:xf>
    <x:xf numFmtId="0" fontId="51" fillId="21" borderId="27" xfId="0" applyNumberFormat="1" applyFont="1" applyFill="1" applyBorder="1" applyAlignment="1">
      <x:alignment horizontal="center" vertical="center" wrapText="1"/>
    </x:xf>
    <x:xf numFmtId="0" fontId="51" fillId="21" borderId="1" xfId="0" applyNumberFormat="1" applyFont="1" applyFill="1" applyBorder="1" applyAlignment="1">
      <x:alignment horizontal="center" vertical="center"/>
    </x:xf>
    <x:xf numFmtId="0" fontId="51" fillId="21" borderId="33" xfId="0" applyNumberFormat="1" applyFont="1" applyFill="1" applyBorder="1" applyAlignment="1">
      <x:alignment horizontal="center" vertical="center" wrapText="1"/>
    </x:xf>
    <x:xf numFmtId="0" fontId="37" fillId="21" borderId="36" xfId="0" applyNumberFormat="1" applyFont="1" applyFill="1" applyBorder="1" applyAlignment="1">
      <x:alignment vertical="center" wrapText="1"/>
    </x:xf>
    <x:xf numFmtId="0" fontId="37" fillId="21" borderId="126" xfId="0" applyNumberFormat="1" applyFont="1" applyFill="1" applyBorder="1" applyAlignment="1">
      <x:alignment horizontal="left" vertical="center" wrapText="1"/>
    </x:xf>
    <x:xf numFmtId="0" fontId="45" fillId="21" borderId="36" xfId="0" applyNumberFormat="1" applyFont="1" applyFill="1" applyBorder="1" applyAlignment="1">
      <x:alignment horizontal="left" vertical="center" wrapText="1"/>
    </x:xf>
    <x:xf numFmtId="0" fontId="45" fillId="21" borderId="126" xfId="0" applyNumberFormat="1" applyFont="1" applyFill="1" applyBorder="1" applyAlignment="1">
      <x:alignment horizontal="left" vertical="center" wrapText="1"/>
    </x:xf>
    <x:xf numFmtId="0" fontId="37" fillId="21" borderId="43" xfId="0" applyNumberFormat="1" applyFont="1" applyFill="1" applyBorder="1" applyAlignment="1">
      <x:alignment vertical="center" wrapText="1"/>
    </x:xf>
    <x:xf numFmtId="0" fontId="45" fillId="21" borderId="36" xfId="0" applyNumberFormat="1" applyFont="1" applyFill="1" applyBorder="1" applyAlignment="1">
      <x:alignment vertical="center" wrapText="1"/>
    </x:xf>
    <x:xf numFmtId="0" fontId="45" fillId="21" borderId="43" xfId="0" applyNumberFormat="1" applyFont="1" applyFill="1" applyBorder="1" applyAlignment="1">
      <x:alignment vertical="center" wrapText="1"/>
    </x:xf>
    <x:xf numFmtId="0" fontId="53" fillId="21" borderId="0" xfId="0" applyNumberFormat="1" applyFont="1" applyFill="1" applyBorder="1" applyAlignment="1">
      <x:alignment horizontal="center" vertical="center"/>
    </x:xf>
    <x:xf numFmtId="0" fontId="7" fillId="21" borderId="0" xfId="0" applyNumberFormat="1" applyFont="1" applyFill="1" applyBorder="1" applyAlignment="1">
      <x:alignment horizontal="center" vertical="center"/>
    </x:xf>
    <x:xf numFmtId="0" fontId="39" fillId="21" borderId="0" xfId="0" applyNumberFormat="1" applyFont="1" applyFill="1" applyBorder="1" applyAlignment="1">
      <x:alignment horizontal="center" vertical="center"/>
    </x:xf>
    <x:xf numFmtId="0" fontId="8" fillId="21" borderId="0" xfId="0" applyNumberFormat="1" applyFont="1" applyFill="1" applyBorder="1" applyAlignment="1">
      <x:alignment horizontal="center" vertical="center"/>
    </x:xf>
    <x:xf numFmtId="0" fontId="63" fillId="21" borderId="10" xfId="0" applyNumberFormat="1" applyFont="1" applyFill="1" applyBorder="1" applyAlignment="1">
      <x:alignment horizontal="center" vertical="center"/>
    </x:xf>
    <x:xf numFmtId="0" fontId="63" fillId="21" borderId="11" xfId="0" applyNumberFormat="1" applyFont="1" applyFill="1" applyBorder="1" applyAlignment="1">
      <x:alignment horizontal="center" vertical="center"/>
    </x:xf>
    <x:xf numFmtId="0" fontId="63" fillId="21" borderId="12" xfId="0" applyNumberFormat="1" applyFont="1" applyFill="1" applyBorder="1" applyAlignment="1">
      <x:alignment horizontal="center" vertical="center"/>
    </x:xf>
    <x:xf numFmtId="0" fontId="63" fillId="21" borderId="0" xfId="0" applyNumberFormat="1" applyFont="1" applyFill="1" applyBorder="1" applyAlignment="1">
      <x:alignment horizontal="center" vertical="center"/>
    </x:xf>
    <x:xf numFmtId="0" fontId="64" fillId="21" borderId="13" xfId="0" applyNumberFormat="1" applyFont="1" applyFill="1" applyBorder="1" applyAlignment="1">
      <x:alignment horizontal="center" vertical="center"/>
    </x:xf>
    <x:xf numFmtId="0" fontId="64" fillId="21" borderId="0" xfId="0" applyNumberFormat="1" applyFont="1" applyFill="1" applyBorder="1" applyAlignment="1">
      <x:alignment horizontal="center" vertical="center"/>
    </x:xf>
    <x:xf numFmtId="0" fontId="64" fillId="21" borderId="14" xfId="0" applyNumberFormat="1" applyFont="1" applyFill="1" applyBorder="1" applyAlignment="1">
      <x:alignment horizontal="center" vertical="center"/>
    </x:xf>
    <x:xf numFmtId="0" fontId="64" fillId="21" borderId="13" xfId="0" applyNumberFormat="1" applyFont="1" applyFill="1" applyBorder="1" applyAlignment="1">
      <x:alignment horizontal="left" vertical="center" wrapText="1"/>
    </x:xf>
    <x:xf numFmtId="0" fontId="64" fillId="21" borderId="0" xfId="0" applyNumberFormat="1" applyFont="1" applyFill="1" applyBorder="1" applyAlignment="1">
      <x:alignment horizontal="left" vertical="center" wrapText="1"/>
    </x:xf>
    <x:xf numFmtId="0" fontId="63" fillId="21" borderId="14" xfId="0" applyNumberFormat="1" applyFont="1" applyFill="1" applyBorder="1" applyAlignment="1">
      <x:alignment horizontal="center" vertical="center"/>
    </x:xf>
    <x:xf numFmtId="0" fontId="63" fillId="21" borderId="13" xfId="0" applyNumberFormat="1" applyFont="1" applyFill="1" applyBorder="1" applyAlignment="1">
      <x:alignment horizontal="center" vertical="center"/>
    </x:xf>
    <x:xf numFmtId="0" fontId="64" fillId="21" borderId="13" xfId="0" applyNumberFormat="1" applyFont="1" applyFill="1" applyBorder="1" applyAlignment="1">
      <x:alignment horizontal="left" vertical="center"/>
    </x:xf>
    <x:xf numFmtId="0" fontId="64" fillId="21" borderId="0" xfId="0" applyNumberFormat="1" applyFont="1" applyFill="1" applyBorder="1" applyAlignment="1">
      <x:alignment horizontal="left" vertical="center"/>
    </x:xf>
    <x:xf numFmtId="0" fontId="63" fillId="21" borderId="15" xfId="0" applyNumberFormat="1" applyFont="1" applyFill="1" applyBorder="1"/>
    <x:xf numFmtId="0" fontId="63" fillId="21" borderId="16" xfId="0" applyNumberFormat="1" applyFont="1" applyFill="1" applyBorder="1"/>
    <x:xf numFmtId="0" fontId="63" fillId="21" borderId="17" xfId="0" applyNumberFormat="1" applyFont="1" applyFill="1" applyBorder="1"/>
    <x:xf numFmtId="0" fontId="63" fillId="21" borderId="0" xfId="0" applyNumberFormat="1" applyFont="1" applyFill="1" applyBorder="1"/>
    <x:xf numFmtId="0" fontId="64" fillId="21" borderId="26" xfId="0" applyNumberFormat="1" applyFont="1" applyFill="1" applyBorder="1" applyAlignment="1">
      <x:alignment horizontal="center" vertical="center" wrapText="1"/>
    </x:xf>
    <x:xf numFmtId="0" fontId="64" fillId="21" borderId="1" xfId="0" applyNumberFormat="1" applyFont="1" applyFill="1" applyBorder="1" applyAlignment="1">
      <x:alignment horizontal="center" vertical="center"/>
    </x:xf>
    <x:xf numFmtId="0" fontId="64" fillId="21" borderId="32" xfId="0" applyNumberFormat="1" applyFont="1" applyFill="1" applyBorder="1" applyAlignment="1">
      <x:alignment horizontal="center" vertical="center" wrapText="1"/>
    </x:xf>
    <x:xf numFmtId="0" fontId="64" fillId="21" borderId="2" xfId="0" applyNumberFormat="1" applyFont="1" applyFill="1" applyBorder="1" applyAlignment="1">
      <x:alignment horizontal="left" vertical="center" wrapText="1"/>
    </x:xf>
    <x:xf numFmtId="0" fontId="64" fillId="21" borderId="27" xfId="0" applyNumberFormat="1" applyFont="1" applyFill="1" applyBorder="1" applyAlignment="1">
      <x:alignment horizontal="center" vertical="center" wrapText="1"/>
    </x:xf>
    <x:xf numFmtId="0" fontId="64" fillId="21" borderId="33" xfId="0" applyNumberFormat="1" applyFont="1" applyFill="1" applyBorder="1" applyAlignment="1">
      <x:alignment horizontal="center" vertical="center" wrapText="1"/>
    </x:xf>
    <x:xf numFmtId="0" fontId="64" fillId="21" borderId="36" xfId="0" applyNumberFormat="1" applyFont="1" applyFill="1" applyBorder="1" applyAlignment="1">
      <x:alignment vertical="center" wrapText="1"/>
    </x:xf>
    <x:xf numFmtId="0" fontId="64" fillId="21" borderId="126" xfId="0" applyNumberFormat="1" applyFont="1" applyFill="1" applyBorder="1" applyAlignment="1">
      <x:alignment horizontal="left" vertical="center" wrapText="1"/>
    </x:xf>
    <x:xf numFmtId="0" fontId="64" fillId="21" borderId="36" xfId="0" applyNumberFormat="1" applyFont="1" applyFill="1" applyBorder="1" applyAlignment="1">
      <x:alignment horizontal="left" vertical="center" wrapText="1"/>
    </x:xf>
    <x:xf numFmtId="0" fontId="64" fillId="21" borderId="43" xfId="0" applyNumberFormat="1" applyFont="1" applyFill="1" applyBorder="1" applyAlignment="1">
      <x:alignment vertical="center" wrapText="1"/>
    </x:xf>
    <x:xf numFmtId="0" fontId="65" fillId="21" borderId="0" xfId="0" applyNumberFormat="1" applyFont="1" applyFill="1" applyBorder="1" applyAlignment="1">
      <x:alignment horizontal="center" vertical="center"/>
    </x:xf>
    <x:xf numFmtId="0" fontId="63" fillId="21" borderId="10" xfId="0" applyNumberFormat="1" applyFont="1" applyFill="1" applyBorder="1" applyAlignment="1">
      <x:alignment horizontal="center" vertical="center" wrapText="1"/>
    </x:xf>
    <x:xf numFmtId="0" fontId="63" fillId="21" borderId="11" xfId="0" applyNumberFormat="1" applyFont="1" applyFill="1" applyBorder="1" applyAlignment="1">
      <x:alignment horizontal="center" vertical="center" wrapText="1"/>
    </x:xf>
    <x:xf numFmtId="0" fontId="63" fillId="21" borderId="12" xfId="0" applyNumberFormat="1" applyFont="1" applyFill="1" applyBorder="1" applyAlignment="1">
      <x:alignment horizontal="center" vertical="center" wrapText="1"/>
    </x:xf>
    <x:xf numFmtId="0" fontId="63" fillId="21" borderId="0" xfId="0" applyNumberFormat="1" applyFont="1" applyFill="1" applyBorder="1" applyAlignment="1">
      <x:alignment horizontal="center" vertical="center" wrapText="1"/>
    </x:xf>
    <x:xf numFmtId="0" fontId="64" fillId="21" borderId="13" xfId="0" applyNumberFormat="1" applyFont="1" applyFill="1" applyBorder="1" applyAlignment="1">
      <x:alignment horizontal="center" vertical="center" wrapText="1"/>
    </x:xf>
    <x:xf numFmtId="0" fontId="64" fillId="21" borderId="0" xfId="0" applyNumberFormat="1" applyFont="1" applyFill="1" applyBorder="1" applyAlignment="1">
      <x:alignment horizontal="center" vertical="center" wrapText="1"/>
    </x:xf>
    <x:xf numFmtId="0" fontId="64" fillId="21" borderId="14" xfId="0" applyNumberFormat="1" applyFont="1" applyFill="1" applyBorder="1" applyAlignment="1">
      <x:alignment horizontal="center" vertical="center" wrapText="1"/>
    </x:xf>
    <x:xf numFmtId="0" fontId="63" fillId="21" borderId="14" xfId="0" applyNumberFormat="1" applyFont="1" applyFill="1" applyBorder="1" applyAlignment="1">
      <x:alignment horizontal="center" vertical="center" wrapText="1"/>
    </x:xf>
    <x:xf numFmtId="0" fontId="63" fillId="21" borderId="13" xfId="0" applyNumberFormat="1" applyFont="1" applyFill="1" applyBorder="1" applyAlignment="1">
      <x:alignment horizontal="center" vertical="center" wrapText="1"/>
    </x:xf>
    <x:xf numFmtId="0" fontId="63" fillId="21" borderId="15" xfId="0" applyNumberFormat="1" applyFont="1" applyFill="1" applyBorder="1" applyAlignment="1">
      <x:alignment wrapText="1"/>
    </x:xf>
    <x:xf numFmtId="0" fontId="63" fillId="21" borderId="16" xfId="0" applyNumberFormat="1" applyFont="1" applyFill="1" applyBorder="1" applyAlignment="1">
      <x:alignment wrapText="1"/>
    </x:xf>
    <x:xf numFmtId="0" fontId="63" fillId="21" borderId="17" xfId="0" applyNumberFormat="1" applyFont="1" applyFill="1" applyBorder="1" applyAlignment="1">
      <x:alignment wrapText="1"/>
    </x:xf>
    <x:xf numFmtId="0" fontId="63" fillId="21" borderId="0" xfId="0" applyNumberFormat="1" applyFont="1" applyFill="1" applyBorder="1" applyAlignment="1">
      <x:alignment wrapText="1"/>
    </x:xf>
    <x:xf numFmtId="0" fontId="64" fillId="21" borderId="1" xfId="0" applyNumberFormat="1" applyFont="1" applyFill="1" applyBorder="1" applyAlignment="1">
      <x:alignment horizontal="center" vertical="center" wrapText="1"/>
    </x:xf>
    <x:xf numFmtId="0" fontId="65" fillId="21" borderId="0" xfId="0" applyNumberFormat="1" applyFont="1" applyFill="1" applyBorder="1" applyAlignment="1">
      <x:alignment horizontal="center" vertical="center" wrapText="1"/>
    </x:xf>
    <x:xf numFmtId="0" fontId="63" fillId="21" borderId="15" xfId="0" applyNumberFormat="1" applyFont="1" applyFill="1" applyBorder="1" applyAlignment="1">
      <x:alignment vertical="center" wrapText="1"/>
    </x:xf>
    <x:xf numFmtId="0" fontId="63" fillId="21" borderId="16" xfId="0" applyNumberFormat="1" applyFont="1" applyFill="1" applyBorder="1" applyAlignment="1">
      <x:alignment vertical="center" wrapText="1"/>
    </x:xf>
    <x:xf numFmtId="0" fontId="63" fillId="21" borderId="17" xfId="0" applyNumberFormat="1" applyFont="1" applyFill="1" applyBorder="1" applyAlignment="1">
      <x:alignment vertical="center" wrapText="1"/>
    </x:xf>
    <x:xf numFmtId="0" fontId="63" fillId="21" borderId="0" xfId="0" applyNumberFormat="1" applyFont="1" applyFill="1" applyBorder="1" applyAlignment="1">
      <x:alignment vertical="center" wrapText="1"/>
    </x:xf>
    <x:xf numFmtId="0" fontId="66" fillId="21" borderId="10" xfId="0" applyNumberFormat="1" applyFont="1" applyFill="1" applyBorder="1" applyAlignment="1">
      <x:alignment horizontal="center" vertical="center" wrapText="1"/>
    </x:xf>
    <x:xf numFmtId="0" fontId="66" fillId="21" borderId="11" xfId="0" applyNumberFormat="1" applyFont="1" applyFill="1" applyBorder="1" applyAlignment="1">
      <x:alignment horizontal="center" vertical="center" wrapText="1"/>
    </x:xf>
    <x:xf numFmtId="0" fontId="66" fillId="21" borderId="12" xfId="0" applyNumberFormat="1" applyFont="1" applyFill="1" applyBorder="1" applyAlignment="1">
      <x:alignment horizontal="center" vertical="center" wrapText="1"/>
    </x:xf>
    <x:xf numFmtId="0" fontId="66" fillId="21" borderId="0" xfId="0" applyNumberFormat="1" applyFont="1" applyFill="1" applyBorder="1" applyAlignment="1">
      <x:alignment horizontal="center" vertical="center" wrapText="1"/>
    </x:xf>
    <x:xf numFmtId="0" fontId="64" fillId="22" borderId="13" xfId="0" applyNumberFormat="1" applyFont="1" applyFill="1" applyBorder="1" applyAlignment="1">
      <x:alignment horizontal="center" vertical="center" wrapText="1"/>
    </x:xf>
    <x:xf numFmtId="0" fontId="64" fillId="22" borderId="0" xfId="0" applyNumberFormat="1" applyFont="1" applyFill="1" applyBorder="1" applyAlignment="1">
      <x:alignment horizontal="center" vertical="center" wrapText="1"/>
    </x:xf>
    <x:xf numFmtId="0" fontId="64" fillId="22" borderId="14" xfId="0" applyNumberFormat="1" applyFont="1" applyFill="1" applyBorder="1" applyAlignment="1">
      <x:alignment horizontal="center" vertical="center" wrapText="1"/>
    </x:xf>
    <x:xf numFmtId="0" fontId="63" fillId="22" borderId="0" xfId="0" applyNumberFormat="1" applyFont="1" applyFill="1" applyBorder="1" applyAlignment="1">
      <x:alignment horizontal="center" vertical="center" wrapText="1"/>
    </x:xf>
    <x:xf numFmtId="0" fontId="64" fillId="22" borderId="13" xfId="0" applyNumberFormat="1" applyFont="1" applyFill="1" applyBorder="1" applyAlignment="1">
      <x:alignment horizontal="left" vertical="center" wrapText="1"/>
    </x:xf>
    <x:xf numFmtId="0" fontId="64" fillId="22" borderId="0" xfId="0" applyNumberFormat="1" applyFont="1" applyFill="1" applyBorder="1" applyAlignment="1">
      <x:alignment horizontal="left" vertical="center" wrapText="1"/>
    </x:xf>
    <x:xf numFmtId="0" fontId="63" fillId="22" borderId="14" xfId="0" applyNumberFormat="1" applyFont="1" applyFill="1" applyBorder="1" applyAlignment="1">
      <x:alignment horizontal="center" vertical="center" wrapText="1"/>
    </x:xf>
    <x:xf numFmtId="0" fontId="63" fillId="22" borderId="13" xfId="0" applyNumberFormat="1" applyFont="1" applyFill="1" applyBorder="1" applyAlignment="1">
      <x:alignment horizontal="center" vertical="center" wrapText="1"/>
    </x:xf>
    <x:xf numFmtId="0" fontId="63" fillId="22" borderId="15" xfId="0" applyNumberFormat="1" applyFont="1" applyFill="1" applyBorder="1" applyAlignment="1">
      <x:alignment vertical="center" wrapText="1"/>
    </x:xf>
    <x:xf numFmtId="0" fontId="63" fillId="22" borderId="16" xfId="0" applyNumberFormat="1" applyFont="1" applyFill="1" applyBorder="1" applyAlignment="1">
      <x:alignment vertical="center" wrapText="1"/>
    </x:xf>
    <x:xf numFmtId="0" fontId="63" fillId="22" borderId="17" xfId="0" applyNumberFormat="1" applyFont="1" applyFill="1" applyBorder="1" applyAlignment="1">
      <x:alignment vertical="center" wrapText="1"/>
    </x:xf>
    <x:xf numFmtId="0" fontId="63" fillId="22" borderId="0" xfId="0" applyNumberFormat="1" applyFont="1" applyFill="1" applyBorder="1" applyAlignment="1">
      <x:alignment vertical="center" wrapText="1"/>
    </x:xf>
    <x:xf numFmtId="0" fontId="64" fillId="23" borderId="13" xfId="0" applyNumberFormat="1" applyFont="1" applyFill="1" applyBorder="1" applyAlignment="1">
      <x:alignment horizontal="center" vertical="center" wrapText="1"/>
    </x:xf>
    <x:xf numFmtId="0" fontId="64" fillId="23" borderId="0" xfId="0" applyNumberFormat="1" applyFont="1" applyFill="1" applyBorder="1" applyAlignment="1">
      <x:alignment horizontal="center" vertical="center" wrapText="1"/>
    </x:xf>
    <x:xf numFmtId="0" fontId="64" fillId="23" borderId="14" xfId="0" applyNumberFormat="1" applyFont="1" applyFill="1" applyBorder="1" applyAlignment="1">
      <x:alignment horizontal="center" vertical="center" wrapText="1"/>
    </x:xf>
    <x:xf numFmtId="0" fontId="63" fillId="23" borderId="0" xfId="0" applyNumberFormat="1" applyFont="1" applyFill="1" applyBorder="1" applyAlignment="1">
      <x:alignment horizontal="center" vertical="center" wrapText="1"/>
    </x:xf>
    <x:xf numFmtId="0" fontId="63" fillId="23" borderId="15" xfId="0" applyNumberFormat="1" applyFont="1" applyFill="1" applyBorder="1" applyAlignment="1">
      <x:alignment vertical="center" wrapText="1"/>
    </x:xf>
    <x:xf numFmtId="0" fontId="63" fillId="23" borderId="16" xfId="0" applyNumberFormat="1" applyFont="1" applyFill="1" applyBorder="1" applyAlignment="1">
      <x:alignment vertical="center" wrapText="1"/>
    </x:xf>
    <x:xf numFmtId="0" fontId="63" fillId="23" borderId="17" xfId="0" applyNumberFormat="1" applyFont="1" applyFill="1" applyBorder="1" applyAlignment="1">
      <x:alignment vertical="center" wrapText="1"/>
    </x:xf>
    <x:xf numFmtId="0" fontId="63" fillId="23" borderId="0" xfId="0" applyNumberFormat="1" applyFont="1" applyFill="1" applyBorder="1" applyAlignment="1">
      <x:alignment vertical="center" wrapText="1"/>
    </x:xf>
    <x:xf numFmtId="0" fontId="31" fillId="22" borderId="0" xfId="0" applyNumberFormat="1" applyFont="1" applyFill="1" applyBorder="1" applyAlignment="1">
      <x:alignment horizontal="left" vertical="center" wrapText="1"/>
    </x:xf>
    <x:xf numFmtId="0" fontId="31" fillId="22" borderId="0" xfId="0" applyNumberFormat="1" applyFont="1" applyFill="1" applyBorder="1" applyAlignment="1">
      <x:alignment horizontal="center" vertical="center" wrapText="1"/>
    </x:xf>
    <x:xf numFmtId="0" fontId="31" fillId="22" borderId="14" xfId="0" applyNumberFormat="1" applyFont="1" applyFill="1" applyBorder="1" applyAlignment="1">
      <x:alignment horizontal="center" vertical="center" wrapText="1"/>
    </x:xf>
    <x:xf numFmtId="0" fontId="67" fillId="22" borderId="0" xfId="0" applyNumberFormat="1" applyFont="1" applyFill="1" applyBorder="1" applyAlignment="1">
      <x:alignment horizontal="center" vertical="center" wrapText="1"/>
    </x:xf>
    <x:xf numFmtId="0" fontId="67" fillId="22" borderId="14" xfId="0" applyNumberFormat="1" applyFont="1" applyFill="1" applyBorder="1" applyAlignment="1">
      <x:alignment horizontal="center" vertical="center" wrapText="1"/>
    </x:xf>
    <x:xf numFmtId="0" fontId="68" fillId="22" borderId="0" xfId="0" applyNumberFormat="1" applyFont="1" applyFill="1" applyBorder="1" applyAlignment="1">
      <x:alignment horizontal="left" vertical="center" wrapText="1"/>
    </x:xf>
    <x:xf numFmtId="0" fontId="68" fillId="22" borderId="0" xfId="0" applyNumberFormat="1" applyFont="1" applyFill="1" applyBorder="1" applyAlignment="1">
      <x:alignment horizontal="center" vertical="center" wrapText="1"/>
    </x:xf>
    <x:xf numFmtId="0" fontId="68" fillId="22" borderId="14" xfId="0" applyNumberFormat="1" applyFont="1" applyFill="1" applyBorder="1" applyAlignment="1">
      <x:alignment horizontal="center" vertical="center" wrapText="1"/>
    </x:xf>
    <x:xf numFmtId="0" fontId="69" fillId="21" borderId="0" xfId="0" applyNumberFormat="1" applyFont="1" applyFill="1" applyBorder="1" applyAlignment="1">
      <x:alignment vertical="center" wrapText="1"/>
    </x:xf>
    <x:xf numFmtId="0" fontId="69" fillId="21" borderId="0" xfId="0" applyNumberFormat="1" applyFont="1" applyFill="1" applyBorder="1" applyAlignment="1">
      <x:alignment horizontal="center" vertical="center" wrapText="1"/>
    </x:xf>
    <x:xf numFmtId="0" fontId="63" fillId="24" borderId="0" xfId="0" applyNumberFormat="1" applyFont="1" applyFill="1" applyBorder="1" applyAlignment="1">
      <x:alignment vertical="center" wrapText="1"/>
    </x:xf>
    <x:xf numFmtId="0" fontId="70" fillId="24" borderId="0" xfId="0" applyNumberFormat="1" applyFont="1" applyFill="1" applyBorder="1" applyAlignment="1">
      <x:alignment vertical="center" wrapText="1"/>
    </x:xf>
    <x:xf numFmtId="0" fontId="70" fillId="24" borderId="0" xfId="0" applyNumberFormat="1" applyFont="1" applyFill="1" applyBorder="1" applyAlignment="1">
      <x:alignment horizontal="center" vertical="center" wrapText="1"/>
    </x:xf>
    <x:xf numFmtId="0" fontId="64" fillId="25" borderId="0" xfId="0" applyNumberFormat="1" applyFont="1" applyFill="1" applyBorder="1" applyAlignment="1">
      <x:alignment horizontal="center" vertical="center" wrapText="1"/>
    </x:xf>
    <x:xf numFmtId="0" fontId="70" fillId="25" borderId="0" xfId="0" applyNumberFormat="1" applyFont="1" applyFill="1" applyBorder="1" applyAlignment="1">
      <x:alignment horizontal="center" vertical="center" wrapText="1"/>
    </x:xf>
    <x:xf numFmtId="0" fontId="70" fillId="25" borderId="128" xfId="0" applyNumberFormat="1" applyFont="1" applyFill="1" applyBorder="1" applyAlignment="1">
      <x:alignment horizontal="center" vertical="center" wrapText="1"/>
    </x:xf>
    <x:xf numFmtId="0" fontId="70" fillId="25" borderId="129" xfId="0" applyNumberFormat="1" applyFont="1" applyFill="1" applyBorder="1" applyAlignment="1">
      <x:alignment horizontal="center" vertical="center" wrapText="1"/>
    </x:xf>
    <x:xf numFmtId="0" fontId="70" fillId="25" borderId="128" xfId="0" applyNumberFormat="1" applyFont="1" applyFill="1" applyBorder="1" applyAlignment="1">
      <x:alignment horizontal="left" vertical="center" wrapText="1"/>
    </x:xf>
    <x:xf numFmtId="0" fontId="70" fillId="25" borderId="129" xfId="0" applyNumberFormat="1" applyFont="1" applyFill="1" applyBorder="1" applyAlignment="1">
      <x:alignment horizontal="left" vertical="center" wrapText="1"/>
    </x:xf>
    <x:xf numFmtId="0" fontId="64" fillId="21" borderId="128" xfId="0" applyNumberFormat="1" applyFont="1" applyFill="1" applyBorder="1" applyAlignment="1">
      <x:alignment horizontal="center" vertical="center" wrapText="1"/>
    </x:xf>
    <x:xf numFmtId="0" fontId="64" fillId="21" borderId="129" xfId="0" applyNumberFormat="1" applyFont="1" applyFill="1" applyBorder="1" applyAlignment="1">
      <x:alignment horizontal="center" vertical="center" wrapText="1"/>
    </x:xf>
    <x:xf numFmtId="0" fontId="64" fillId="21" borderId="128" xfId="0" applyNumberFormat="1" applyFont="1" applyFill="1" applyBorder="1" applyAlignment="1">
      <x:alignment horizontal="left" vertical="center" wrapText="1"/>
    </x:xf>
    <x:xf numFmtId="0" fontId="64" fillId="21" borderId="129" xfId="0" applyNumberFormat="1" applyFont="1" applyFill="1" applyBorder="1" applyAlignment="1">
      <x:alignment horizontal="left" vertical="center" wrapText="1"/>
    </x:xf>
    <x:xf numFmtId="0" fontId="63" fillId="25" borderId="0" xfId="0" applyNumberFormat="1" applyFont="1" applyFill="1" applyBorder="1" applyAlignment="1">
      <x:alignment horizontal="center" vertical="center" wrapText="1"/>
    </x:xf>
    <x:xf numFmtId="0" fontId="63" fillId="25" borderId="0" xfId="0" applyNumberFormat="1" applyFont="1" applyFill="1" applyBorder="1" applyAlignment="1">
      <x:alignment vertical="center" wrapText="1"/>
    </x:xf>
    <x:xf numFmtId="0" fontId="70" fillId="25" borderId="0" xfId="0" applyNumberFormat="1" applyFont="1" applyFill="1" applyBorder="1" applyAlignment="1">
      <x:alignment vertical="center" wrapText="1"/>
    </x:xf>
    <x:xf numFmtId="0" fontId="70" fillId="25" borderId="128" xfId="0" applyNumberFormat="1" applyFont="1" applyFill="1" applyBorder="1" applyAlignment="1">
      <x:alignment vertical="center" wrapText="1"/>
    </x:xf>
    <x:xf numFmtId="0" fontId="70" fillId="25" borderId="129" xfId="0" applyNumberFormat="1" applyFont="1" applyFill="1" applyBorder="1" applyAlignment="1">
      <x:alignment vertical="center" wrapText="1"/>
    </x:xf>
    <x:xf numFmtId="0" fontId="64" fillId="21" borderId="0" xfId="0" applyNumberFormat="1" applyFont="1" applyFill="1" applyBorder="1" applyAlignment="1">
      <x:alignment vertical="center" wrapText="1"/>
    </x:xf>
    <x:xf numFmtId="0" fontId="64" fillId="21" borderId="128" xfId="0" applyNumberFormat="1" applyFont="1" applyFill="1" applyBorder="1" applyAlignment="1">
      <x:alignment vertical="center" wrapText="1"/>
    </x:xf>
    <x:xf numFmtId="0" fontId="64" fillId="21" borderId="129" xfId="0" applyNumberFormat="1" applyFont="1" applyFill="1" applyBorder="1" applyAlignment="1">
      <x:alignment vertical="center" wrapText="1"/>
    </x:xf>
    <x:xf numFmtId="0" fontId="64" fillId="25" borderId="26" xfId="0" applyNumberFormat="1" applyFont="1" applyFill="1" applyBorder="1" applyAlignment="1">
      <x:alignment horizontal="center" vertical="center" wrapText="1"/>
    </x:xf>
    <x:xf numFmtId="0" fontId="64" fillId="25" borderId="1" xfId="0" applyNumberFormat="1" applyFont="1" applyFill="1" applyBorder="1" applyAlignment="1">
      <x:alignment horizontal="center" vertical="center" wrapText="1"/>
    </x:xf>
    <x:xf numFmtId="0" fontId="70" fillId="25" borderId="26" xfId="0" applyNumberFormat="1" applyFont="1" applyFill="1" applyBorder="1" applyAlignment="1">
      <x:alignment horizontal="center" vertical="center" wrapText="1"/>
    </x:xf>
    <x:xf numFmtId="0" fontId="70" fillId="25" borderId="1" xfId="0" applyNumberFormat="1" applyFont="1" applyFill="1" applyBorder="1" applyAlignment="1">
      <x:alignment horizontal="center" vertical="center" wrapText="1"/>
    </x:xf>
    <x:xf numFmtId="0" fontId="70" fillId="25" borderId="130" xfId="0" applyNumberFormat="1" applyFont="1" applyFill="1" applyBorder="1" applyAlignment="1">
      <x:alignment horizontal="center" vertical="center" wrapText="1"/>
    </x:xf>
    <x:xf numFmtId="0" fontId="70" fillId="25" borderId="131" xfId="0" applyNumberFormat="1" applyFont="1" applyFill="1" applyBorder="1" applyAlignment="1">
      <x:alignment horizontal="center" vertical="center" wrapText="1"/>
    </x:xf>
    <x:xf numFmtId="0" fontId="70" fillId="25" borderId="130" xfId="0" applyNumberFormat="1" applyFont="1" applyFill="1" applyBorder="1" applyAlignment="1">
      <x:alignment horizontal="left" vertical="center" wrapText="1"/>
    </x:xf>
    <x:xf numFmtId="0" fontId="70" fillId="25" borderId="131" xfId="0" applyNumberFormat="1" applyFont="1" applyFill="1" applyBorder="1" applyAlignment="1">
      <x:alignment horizontal="left" vertical="center" wrapText="1"/>
    </x:xf>
    <x:xf numFmtId="0" fontId="64" fillId="21" borderId="130" xfId="0" applyNumberFormat="1" applyFont="1" applyFill="1" applyBorder="1" applyAlignment="1">
      <x:alignment horizontal="center" vertical="center" wrapText="1"/>
    </x:xf>
    <x:xf numFmtId="0" fontId="64" fillId="21" borderId="130" xfId="0" applyNumberFormat="1" applyFont="1" applyFill="1" applyBorder="1" applyAlignment="1">
      <x:alignment horizontal="left" vertical="center" wrapText="1"/>
    </x:xf>
    <x:xf numFmtId="0" fontId="64" fillId="25" borderId="27" xfId="0" applyNumberFormat="1" applyFont="1" applyFill="1" applyBorder="1" applyAlignment="1">
      <x:alignment horizontal="center" vertical="center" wrapText="1"/>
    </x:xf>
    <x:xf numFmtId="0" fontId="70" fillId="25" borderId="27" xfId="0" applyNumberFormat="1" applyFont="1" applyFill="1" applyBorder="1" applyAlignment="1">
      <x:alignment horizontal="center" vertical="center" wrapText="1"/>
    </x:xf>
    <x:xf numFmtId="0" fontId="64" fillId="25" borderId="126" xfId="0" applyNumberFormat="1" applyFont="1" applyFill="1" applyBorder="1" applyAlignment="1">
      <x:alignment horizontal="left" vertical="center" wrapText="1"/>
    </x:xf>
    <x:xf numFmtId="0" fontId="64" fillId="25" borderId="36" xfId="0" applyNumberFormat="1" applyFont="1" applyFill="1" applyBorder="1" applyAlignment="1">
      <x:alignment horizontal="left" vertical="center" wrapText="1"/>
    </x:xf>
    <x:xf numFmtId="0" fontId="70" fillId="25" borderId="126" xfId="0" applyNumberFormat="1" applyFont="1" applyFill="1" applyBorder="1" applyAlignment="1">
      <x:alignment horizontal="left" vertical="center" wrapText="1"/>
    </x:xf>
    <x:xf numFmtId="0" fontId="70" fillId="25" borderId="36" xfId="0" applyNumberFormat="1" applyFont="1" applyFill="1" applyBorder="1" applyAlignment="1">
      <x:alignment horizontal="left" vertical="center" wrapText="1"/>
    </x:xf>
    <x:xf numFmtId="0" fontId="70" fillId="25" borderId="132" xfId="0" applyNumberFormat="1" applyFont="1" applyFill="1" applyBorder="1" applyAlignment="1">
      <x:alignment horizontal="left" vertical="center" wrapText="1"/>
    </x:xf>
    <x:xf numFmtId="0" fontId="64" fillId="25" borderId="2" xfId="0" applyNumberFormat="1" applyFont="1" applyFill="1" applyBorder="1" applyAlignment="1">
      <x:alignment horizontal="left" vertical="center" wrapText="1"/>
    </x:xf>
    <x:xf numFmtId="0" fontId="71" fillId="25" borderId="126" xfId="0" applyNumberFormat="1" applyFont="1" applyFill="1" applyBorder="1" applyAlignment="1">
      <x:alignment horizontal="left" vertical="center" wrapText="1"/>
    </x:xf>
    <x:xf numFmtId="0" fontId="71" fillId="25" borderId="36" xfId="0" applyNumberFormat="1" applyFont="1" applyFill="1" applyBorder="1" applyAlignment="1">
      <x:alignment horizontal="left" vertical="center" wrapText="1"/>
    </x:xf>
    <x:xf numFmtId="0" fontId="71" fillId="25" borderId="2" xfId="0" applyNumberFormat="1" applyFont="1" applyFill="1" applyBorder="1" applyAlignment="1">
      <x:alignment horizontal="left" vertical="center" wrapText="1"/>
    </x:xf>
    <x:xf numFmtId="0" fontId="71" fillId="25" borderId="126" xfId="0" applyNumberFormat="1" applyFont="1" applyFill="1" applyBorder="1" applyAlignment="1">
      <x:alignment horizontal="center" vertical="center" wrapText="1"/>
    </x:xf>
    <x:xf numFmtId="0" fontId="71" fillId="25" borderId="36" xfId="0" applyNumberFormat="1" applyFont="1" applyFill="1" applyBorder="1" applyAlignment="1">
      <x:alignment horizontal="center" vertical="center" wrapText="1"/>
    </x:xf>
    <x:xf numFmtId="0" fontId="71" fillId="25" borderId="2" xfId="0" applyNumberFormat="1" applyFont="1" applyFill="1" applyBorder="1" applyAlignment="1">
      <x:alignment horizontal="center" vertical="center" wrapText="1"/>
    </x:xf>
    <x:xf numFmtId="0" fontId="64" fillId="26" borderId="126" xfId="0" applyNumberFormat="1" applyFont="1" applyFill="1" applyBorder="1" applyAlignment="1">
      <x:alignment horizontal="left" vertical="center" wrapText="1"/>
    </x:xf>
    <x:xf numFmtId="0" fontId="64" fillId="26" borderId="36" xfId="0" applyNumberFormat="1" applyFont="1" applyFill="1" applyBorder="1" applyAlignment="1">
      <x:alignment horizontal="left" vertical="center" wrapText="1"/>
    </x:xf>
    <x:xf numFmtId="0" fontId="64" fillId="26" borderId="2" xfId="0" applyNumberFormat="1" applyFont="1" applyFill="1" applyBorder="1" applyAlignment="1">
      <x:alignment horizontal="left" vertical="center" wrapText="1"/>
    </x:xf>
    <x:xf numFmtId="0" fontId="39" fillId="26" borderId="126" xfId="0" applyNumberFormat="1" applyFont="1" applyFill="1" applyBorder="1" applyAlignment="1">
      <x:alignment horizontal="left" vertical="center" wrapText="1"/>
    </x:xf>
    <x:xf numFmtId="0" fontId="39" fillId="26" borderId="36" xfId="0" applyNumberFormat="1" applyFont="1" applyFill="1" applyBorder="1" applyAlignment="1">
      <x:alignment horizontal="left" vertical="center" wrapText="1"/>
    </x:xf>
    <x:xf numFmtId="0" fontId="39" fillId="26" borderId="2" xfId="0" applyNumberFormat="1" applyFont="1" applyFill="1" applyBorder="1" applyAlignment="1">
      <x:alignment horizontal="left" vertical="center" wrapText="1"/>
    </x:xf>
    <x:xf numFmtId="0" fontId="39" fillId="26" borderId="126" xfId="0" applyNumberFormat="1" applyFont="1" applyFill="1" applyBorder="1" applyAlignment="1">
      <x:alignment horizontal="center" vertical="center" wrapText="1"/>
    </x:xf>
    <x:xf numFmtId="0" fontId="39" fillId="26" borderId="36" xfId="0" applyNumberFormat="1" applyFont="1" applyFill="1" applyBorder="1" applyAlignment="1">
      <x:alignment horizontal="center" vertical="center" wrapText="1"/>
    </x:xf>
    <x:xf numFmtId="0" fontId="39" fillId="26" borderId="2" xfId="0" applyNumberFormat="1" applyFont="1" applyFill="1" applyBorder="1" applyAlignment="1">
      <x:alignment horizontal="center" vertical="center" wrapText="1"/>
    </x:xf>
    <x:xf numFmtId="0" fontId="61" fillId="9" borderId="10" xfId="0" applyNumberFormat="1" applyFont="1" applyFill="1" applyBorder="1" applyAlignment="1">
      <x:alignment horizontal="center" vertical="center"/>
    </x:xf>
    <x:xf numFmtId="0" fontId="61" fillId="9" borderId="11" xfId="0" applyNumberFormat="1" applyFont="1" applyFill="1" applyBorder="1" applyAlignment="1">
      <x:alignment horizontal="center" vertical="center"/>
    </x:xf>
    <x:xf numFmtId="0" fontId="61" fillId="9" borderId="1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horizontal="center" vertical="center"/>
    </x:xf>
    <x:xf numFmtId="0" fontId="47" fillId="9" borderId="13" xfId="0" applyNumberFormat="1" applyFont="1" applyFill="1" applyBorder="1" applyAlignment="1">
      <x:alignment horizontal="center" vertical="center"/>
    </x:xf>
    <x:xf numFmtId="0" fontId="47" fillId="9" borderId="0" xfId="0" applyNumberFormat="1" applyFont="1" applyFill="1" applyBorder="1" applyAlignment="1">
      <x:alignment horizontal="center" vertical="center"/>
    </x:xf>
    <x:xf numFmtId="0" fontId="47" fillId="9" borderId="14" xfId="0" applyNumberFormat="1" applyFont="1" applyFill="1" applyBorder="1" applyAlignment="1">
      <x:alignment horizontal="center" vertical="center"/>
    </x:xf>
    <x:xf numFmtId="0" fontId="55" fillId="9" borderId="13" xfId="0" applyNumberFormat="1" applyFont="1" applyFill="1" applyBorder="1" applyAlignment="1">
      <x:alignment horizontal="left" vertical="center" wrapText="1"/>
    </x:xf>
    <x:xf numFmtId="0" fontId="55" fillId="9" borderId="0" xfId="0" applyNumberFormat="1" applyFont="1" applyFill="1" applyBorder="1" applyAlignment="1">
      <x:alignment horizontal="left" vertical="center" wrapText="1"/>
    </x:xf>
    <x:xf numFmtId="0" fontId="61" fillId="9" borderId="0" xfId="0" applyNumberFormat="1" applyFont="1" applyFill="1" applyBorder="1" applyAlignment="1">
      <x:alignment horizontal="center" vertical="center"/>
    </x:xf>
    <x:xf numFmtId="0" fontId="61" fillId="9" borderId="14" xfId="0" applyNumberFormat="1" applyFont="1" applyFill="1" applyBorder="1" applyAlignment="1">
      <x:alignment horizontal="center" vertical="center"/>
    </x:xf>
    <x:xf numFmtId="0" fontId="61" fillId="9" borderId="13" xfId="0" applyNumberFormat="1" applyFont="1" applyFill="1" applyBorder="1" applyAlignment="1">
      <x:alignment horizontal="center" vertical="center"/>
    </x:xf>
    <x:xf numFmtId="0" fontId="62" fillId="9" borderId="13" xfId="0" applyNumberFormat="1" applyFont="1" applyFill="1" applyBorder="1" applyAlignment="1">
      <x:alignment horizontal="left" vertical="center"/>
    </x:xf>
    <x:xf numFmtId="0" fontId="62" fillId="9" borderId="0" xfId="0" applyNumberFormat="1" applyFont="1" applyFill="1" applyBorder="1" applyAlignment="1">
      <x:alignment horizontal="left" vertical="center"/>
    </x:xf>
    <x:xf numFmtId="0" fontId="44" fillId="9" borderId="13" xfId="0" applyNumberFormat="1" applyFont="1" applyFill="1" applyBorder="1" applyAlignment="1">
      <x:alignment horizontal="left" vertical="center"/>
    </x:xf>
    <x:xf numFmtId="0" fontId="44" fillId="9" borderId="0" xfId="0" applyNumberFormat="1" applyFont="1" applyFill="1" applyBorder="1" applyAlignment="1">
      <x:alignment horizontal="left" vertical="center"/>
    </x:xf>
    <x:xf numFmtId="0" fontId="61" fillId="9" borderId="15" xfId="0" applyNumberFormat="1" applyFont="1" applyFill="1" applyBorder="1"/>
    <x:xf numFmtId="0" fontId="61" fillId="9" borderId="16" xfId="0" applyNumberFormat="1" applyFont="1" applyFill="1" applyBorder="1"/>
    <x:xf numFmtId="0" fontId="61" fillId="9" borderId="17" xfId="0" applyNumberFormat="1" applyFont="1" applyFill="1" applyBorder="1"/>
    <x:xf numFmtId="0" fontId="6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 vertic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59" fillId="9" borderId="0" xfId="0" applyNumberFormat="1" applyFont="1" applyFill="1" applyBorder="1" applyAlignment="1">
      <x:alignment horizontal="center" vertical="center"/>
    </x:xf>
    <x:xf numFmtId="0" fontId="59" fillId="9" borderId="26" xfId="0" applyNumberFormat="1" applyFont="1" applyFill="1" applyBorder="1" applyAlignment="1">
      <x:alignment horizontal="center" vertical="center" wrapText="1"/>
    </x:xf>
    <x:xf numFmtId="0" fontId="59" fillId="9" borderId="1" xfId="0" applyNumberFormat="1" applyFont="1" applyFill="1" applyBorder="1" applyAlignment="1">
      <x:alignment horizontal="center" vertical="center"/>
    </x:xf>
    <x:xf numFmtId="0" fontId="59" fillId="9" borderId="32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left" vertical="center" wrapText="1"/>
    </x:xf>
    <x:xf numFmtId="0" fontId="51" fillId="9" borderId="0" xfId="0" applyNumberFormat="1" applyFont="1" applyFill="1" applyBorder="1" applyAlignment="1">
      <x:alignment horizontal="center" vertical="center"/>
    </x:xf>
    <x:xf numFmtId="0" fontId="51" fillId="9" borderId="27" xfId="0" applyNumberFormat="1" applyFont="1" applyFill="1" applyBorder="1" applyAlignment="1">
      <x:alignment horizontal="center" vertical="center" wrapText="1"/>
    </x:xf>
    <x:xf numFmtId="0" fontId="51" fillId="9" borderId="1" xfId="0" applyNumberFormat="1" applyFont="1" applyFill="1" applyBorder="1" applyAlignment="1">
      <x:alignment horizontal="center" vertical="center"/>
    </x:xf>
    <x:xf numFmtId="0" fontId="51" fillId="9" borderId="33" xfId="0" applyNumberFormat="1" applyFont="1" applyFill="1" applyBorder="1" applyAlignment="1">
      <x:alignment horizontal="center" vertical="center" wrapText="1"/>
    </x:xf>
    <x:xf numFmtId="0" fontId="37" fillId="9" borderId="36" xfId="0" applyNumberFormat="1" applyFont="1" applyFill="1" applyBorder="1" applyAlignment="1">
      <x:alignment vertical="center" wrapText="1"/>
    </x:xf>
    <x:xf numFmtId="0" fontId="37" fillId="9" borderId="126" xfId="0" applyNumberFormat="1" applyFont="1" applyFill="1" applyBorder="1" applyAlignment="1">
      <x:alignment horizontal="left" vertical="center" wrapText="1"/>
    </x:xf>
    <x:xf numFmtId="0" fontId="37" fillId="9" borderId="43" xfId="0" applyNumberFormat="1" applyFont="1" applyFill="1" applyBorder="1" applyAlignment="1">
      <x:alignment vertical="center" wrapText="1"/>
    </x:xf>
    <x:xf numFmtId="0" fontId="53" fillId="9" borderId="0" xfId="0" applyNumberFormat="1" applyFont="1" applyFill="1" applyBorder="1" applyAlignment="1">
      <x:alignment horizontal="center" vertic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39" fillId="9" borderId="0" xfId="0" applyNumberFormat="1" applyFont="1" applyFill="1" applyBorder="1" applyAlignment="1">
      <x:alignment horizontal="center" vertic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63" fillId="9" borderId="10" xfId="0" applyNumberFormat="1" applyFont="1" applyFill="1" applyBorder="1" applyAlignment="1">
      <x:alignment horizontal="center" vertical="center"/>
    </x:xf>
    <x:xf numFmtId="0" fontId="63" fillId="9" borderId="11" xfId="0" applyNumberFormat="1" applyFont="1" applyFill="1" applyBorder="1" applyAlignment="1">
      <x:alignment horizontal="center" vertical="center"/>
    </x:xf>
    <x:xf numFmtId="0" fontId="63" fillId="9" borderId="12" xfId="0" applyNumberFormat="1" applyFont="1" applyFill="1" applyBorder="1" applyAlignment="1">
      <x:alignment horizontal="center" vertical="center"/>
    </x:xf>
    <x:xf numFmtId="0" fontId="63" fillId="9" borderId="0" xfId="0" applyNumberFormat="1" applyFont="1" applyFill="1" applyBorder="1" applyAlignment="1">
      <x:alignment horizontal="center" vertical="center"/>
    </x:xf>
    <x:xf numFmtId="0" fontId="64" fillId="9" borderId="13" xfId="0" applyNumberFormat="1" applyFont="1" applyFill="1" applyBorder="1" applyAlignment="1">
      <x:alignment horizontal="center" vertical="center"/>
    </x:xf>
    <x:xf numFmtId="0" fontId="64" fillId="9" borderId="0" xfId="0" applyNumberFormat="1" applyFont="1" applyFill="1" applyBorder="1" applyAlignment="1">
      <x:alignment horizontal="center" vertical="center"/>
    </x:xf>
    <x:xf numFmtId="0" fontId="64" fillId="9" borderId="14" xfId="0" applyNumberFormat="1" applyFont="1" applyFill="1" applyBorder="1" applyAlignment="1">
      <x:alignment horizontal="center" vertical="center"/>
    </x:xf>
    <x:xf numFmtId="0" fontId="64" fillId="9" borderId="13" xfId="0" applyNumberFormat="1" applyFont="1" applyFill="1" applyBorder="1" applyAlignment="1">
      <x:alignment horizontal="left" vertical="center" wrapText="1"/>
    </x:xf>
    <x:xf numFmtId="0" fontId="64" fillId="9" borderId="0" xfId="0" applyNumberFormat="1" applyFont="1" applyFill="1" applyBorder="1" applyAlignment="1">
      <x:alignment horizontal="left" vertical="center" wrapText="1"/>
    </x:xf>
    <x:xf numFmtId="0" fontId="63" fillId="9" borderId="14" xfId="0" applyNumberFormat="1" applyFont="1" applyFill="1" applyBorder="1" applyAlignment="1">
      <x:alignment horizontal="center" vertical="center"/>
    </x:xf>
    <x:xf numFmtId="0" fontId="63" fillId="9" borderId="13" xfId="0" applyNumberFormat="1" applyFont="1" applyFill="1" applyBorder="1" applyAlignment="1">
      <x:alignment horizontal="center" vertical="center"/>
    </x:xf>
    <x:xf numFmtId="0" fontId="64" fillId="9" borderId="13" xfId="0" applyNumberFormat="1" applyFont="1" applyFill="1" applyBorder="1" applyAlignment="1">
      <x:alignment horizontal="left" vertical="center"/>
    </x:xf>
    <x:xf numFmtId="0" fontId="64" fillId="9" borderId="0" xfId="0" applyNumberFormat="1" applyFont="1" applyFill="1" applyBorder="1" applyAlignment="1">
      <x:alignment horizontal="left" vertical="center"/>
    </x:xf>
    <x:xf numFmtId="0" fontId="63" fillId="9" borderId="15" xfId="0" applyNumberFormat="1" applyFont="1" applyFill="1" applyBorder="1"/>
    <x:xf numFmtId="0" fontId="63" fillId="9" borderId="16" xfId="0" applyNumberFormat="1" applyFont="1" applyFill="1" applyBorder="1"/>
    <x:xf numFmtId="0" fontId="63" fillId="9" borderId="17" xfId="0" applyNumberFormat="1" applyFont="1" applyFill="1" applyBorder="1"/>
    <x:xf numFmtId="0" fontId="63" fillId="9" borderId="0" xfId="0" applyNumberFormat="1" applyFont="1" applyFill="1" applyBorder="1"/>
    <x:xf numFmtId="0" fontId="64" fillId="9" borderId="26" xfId="0" applyNumberFormat="1" applyFont="1" applyFill="1" applyBorder="1" applyAlignment="1">
      <x:alignment horizontal="center" vertical="center" wrapText="1"/>
    </x:xf>
    <x:xf numFmtId="0" fontId="64" fillId="9" borderId="1" xfId="0" applyNumberFormat="1" applyFont="1" applyFill="1" applyBorder="1" applyAlignment="1">
      <x:alignment horizontal="center" vertical="center"/>
    </x:xf>
    <x:xf numFmtId="0" fontId="64" fillId="9" borderId="32" xfId="0" applyNumberFormat="1" applyFont="1" applyFill="1" applyBorder="1" applyAlignment="1">
      <x:alignment horizontal="center" vertical="center" wrapText="1"/>
    </x:xf>
    <x:xf numFmtId="0" fontId="64" fillId="9" borderId="2" xfId="0" applyNumberFormat="1" applyFont="1" applyFill="1" applyBorder="1" applyAlignment="1">
      <x:alignment horizontal="left" vertical="center" wrapText="1"/>
    </x:xf>
    <x:xf numFmtId="0" fontId="64" fillId="9" borderId="27" xfId="0" applyNumberFormat="1" applyFont="1" applyFill="1" applyBorder="1" applyAlignment="1">
      <x:alignment horizontal="center" vertical="center" wrapText="1"/>
    </x:xf>
    <x:xf numFmtId="0" fontId="64" fillId="9" borderId="33" xfId="0" applyNumberFormat="1" applyFont="1" applyFill="1" applyBorder="1" applyAlignment="1">
      <x:alignment horizontal="center" vertical="center" wrapText="1"/>
    </x:xf>
    <x:xf numFmtId="0" fontId="64" fillId="9" borderId="36" xfId="0" applyNumberFormat="1" applyFont="1" applyFill="1" applyBorder="1" applyAlignment="1">
      <x:alignment vertical="center" wrapText="1"/>
    </x:xf>
    <x:xf numFmtId="0" fontId="64" fillId="9" borderId="126" xfId="0" applyNumberFormat="1" applyFont="1" applyFill="1" applyBorder="1" applyAlignment="1">
      <x:alignment horizontal="left" vertical="center" wrapText="1"/>
    </x:xf>
    <x:xf numFmtId="0" fontId="64" fillId="9" borderId="36" xfId="0" applyNumberFormat="1" applyFont="1" applyFill="1" applyBorder="1" applyAlignment="1">
      <x:alignment horizontal="left" vertical="center" wrapText="1"/>
    </x:xf>
    <x:xf numFmtId="0" fontId="64" fillId="9" borderId="43" xfId="0" applyNumberFormat="1" applyFont="1" applyFill="1" applyBorder="1" applyAlignment="1">
      <x:alignment vertical="center" wrapText="1"/>
    </x:xf>
    <x:xf numFmtId="0" fontId="65" fillId="9" borderId="0" xfId="0" applyNumberFormat="1" applyFont="1" applyFill="1" applyBorder="1" applyAlignment="1">
      <x:alignment horizontal="center" vertical="center"/>
    </x:xf>
    <x:xf numFmtId="0" fontId="63" fillId="9" borderId="10" xfId="0" applyNumberFormat="1" applyFont="1" applyFill="1" applyBorder="1" applyAlignment="1">
      <x:alignment horizontal="center" vertical="center" wrapText="1"/>
    </x:xf>
    <x:xf numFmtId="0" fontId="63" fillId="9" borderId="11" xfId="0" applyNumberFormat="1" applyFont="1" applyFill="1" applyBorder="1" applyAlignment="1">
      <x:alignment horizontal="center" vertical="center" wrapText="1"/>
    </x:xf>
    <x:xf numFmtId="0" fontId="63" fillId="9" borderId="12" xfId="0" applyNumberFormat="1" applyFont="1" applyFill="1" applyBorder="1" applyAlignment="1">
      <x:alignment horizontal="center" vertical="center" wrapText="1"/>
    </x:xf>
    <x:xf numFmtId="0" fontId="63" fillId="9" borderId="0" xfId="0" applyNumberFormat="1" applyFont="1" applyFill="1" applyBorder="1" applyAlignment="1">
      <x:alignment horizontal="center" vertical="center" wrapText="1"/>
    </x:xf>
    <x:xf numFmtId="0" fontId="64" fillId="9" borderId="13" xfId="0" applyNumberFormat="1" applyFont="1" applyFill="1" applyBorder="1" applyAlignment="1">
      <x:alignment horizontal="center" vertical="center" wrapText="1"/>
    </x:xf>
    <x:xf numFmtId="0" fontId="64" fillId="9" borderId="0" xfId="0" applyNumberFormat="1" applyFont="1" applyFill="1" applyBorder="1" applyAlignment="1">
      <x:alignment horizontal="center" vertical="center" wrapText="1"/>
    </x:xf>
    <x:xf numFmtId="0" fontId="64" fillId="9" borderId="14" xfId="0" applyNumberFormat="1" applyFont="1" applyFill="1" applyBorder="1" applyAlignment="1">
      <x:alignment horizontal="center" vertical="center" wrapText="1"/>
    </x:xf>
    <x:xf numFmtId="0" fontId="63" fillId="9" borderId="14" xfId="0" applyNumberFormat="1" applyFont="1" applyFill="1" applyBorder="1" applyAlignment="1">
      <x:alignment horizontal="center" vertical="center" wrapText="1"/>
    </x:xf>
    <x:xf numFmtId="0" fontId="63" fillId="9" borderId="13" xfId="0" applyNumberFormat="1" applyFont="1" applyFill="1" applyBorder="1" applyAlignment="1">
      <x:alignment horizontal="center" vertical="center" wrapText="1"/>
    </x:xf>
    <x:xf numFmtId="0" fontId="63" fillId="9" borderId="15" xfId="0" applyNumberFormat="1" applyFont="1" applyFill="1" applyBorder="1" applyAlignment="1">
      <x:alignment wrapText="1"/>
    </x:xf>
    <x:xf numFmtId="0" fontId="63" fillId="9" borderId="16" xfId="0" applyNumberFormat="1" applyFont="1" applyFill="1" applyBorder="1" applyAlignment="1">
      <x:alignment wrapText="1"/>
    </x:xf>
    <x:xf numFmtId="0" fontId="63" fillId="9" borderId="17" xfId="0" applyNumberFormat="1" applyFont="1" applyFill="1" applyBorder="1" applyAlignment="1">
      <x:alignment wrapText="1"/>
    </x:xf>
    <x:xf numFmtId="0" fontId="63" fillId="9" borderId="0" xfId="0" applyNumberFormat="1" applyFont="1" applyFill="1" applyBorder="1" applyAlignment="1">
      <x:alignment wrapText="1"/>
    </x:xf>
    <x:xf numFmtId="0" fontId="64" fillId="9" borderId="1" xfId="0" applyNumberFormat="1" applyFont="1" applyFill="1" applyBorder="1" applyAlignment="1">
      <x:alignment horizontal="center" vertical="center" wrapText="1"/>
    </x:xf>
    <x:xf numFmtId="0" fontId="65" fillId="9" borderId="0" xfId="0" applyNumberFormat="1" applyFont="1" applyFill="1" applyBorder="1" applyAlignment="1">
      <x:alignment horizontal="center" vertical="center" wrapText="1"/>
    </x:xf>
    <x:xf numFmtId="0" fontId="63" fillId="9" borderId="15" xfId="0" applyNumberFormat="1" applyFont="1" applyFill="1" applyBorder="1" applyAlignment="1">
      <x:alignment vertical="center" wrapText="1"/>
    </x:xf>
    <x:xf numFmtId="0" fontId="63" fillId="9" borderId="16" xfId="0" applyNumberFormat="1" applyFont="1" applyFill="1" applyBorder="1" applyAlignment="1">
      <x:alignment vertical="center" wrapText="1"/>
    </x:xf>
    <x:xf numFmtId="0" fontId="63" fillId="9" borderId="17" xfId="0" applyNumberFormat="1" applyFont="1" applyFill="1" applyBorder="1" applyAlignment="1">
      <x:alignment vertical="center" wrapText="1"/>
    </x:xf>
    <x:xf numFmtId="0" fontId="63" fillId="9" borderId="0" xfId="0" applyNumberFormat="1" applyFont="1" applyFill="1" applyBorder="1" applyAlignment="1">
      <x:alignment vertical="center" wrapText="1"/>
    </x:xf>
    <x:xf numFmtId="0" fontId="66" fillId="9" borderId="10" xfId="0" applyNumberFormat="1" applyFont="1" applyFill="1" applyBorder="1" applyAlignment="1">
      <x:alignment horizontal="center" vertical="center" wrapText="1"/>
    </x:xf>
    <x:xf numFmtId="0" fontId="66" fillId="9" borderId="11" xfId="0" applyNumberFormat="1" applyFont="1" applyFill="1" applyBorder="1" applyAlignment="1">
      <x:alignment horizontal="center" vertical="center" wrapText="1"/>
    </x:xf>
    <x:xf numFmtId="0" fontId="66" fillId="9" borderId="12" xfId="0" applyNumberFormat="1" applyFont="1" applyFill="1" applyBorder="1" applyAlignment="1">
      <x:alignment horizontal="center" vertical="center" wrapText="1"/>
    </x:xf>
    <x:xf numFmtId="0" fontId="66" fillId="9" borderId="0" xfId="0" applyNumberFormat="1" applyFont="1" applyFill="1" applyBorder="1" applyAlignment="1">
      <x:alignment horizontal="center" vertical="center" wrapText="1"/>
    </x:xf>
    <x:xf numFmtId="0" fontId="69" fillId="9" borderId="0" xfId="0" applyNumberFormat="1" applyFont="1" applyFill="1" applyBorder="1" applyAlignment="1">
      <x:alignment vertical="center" wrapText="1"/>
    </x:xf>
    <x:xf numFmtId="0" fontId="69" fillId="9" borderId="0" xfId="0" applyNumberFormat="1" applyFont="1" applyFill="1" applyBorder="1" applyAlignment="1">
      <x:alignment horizontal="center" vertical="center" wrapText="1"/>
    </x:xf>
    <x:xf numFmtId="0" fontId="63" fillId="15" borderId="0" xfId="0" applyNumberFormat="1" applyFont="1" applyFill="1" applyBorder="1" applyAlignment="1">
      <x:alignment vertical="center" wrapText="1"/>
    </x:xf>
    <x:xf numFmtId="0" fontId="70" fillId="15" borderId="0" xfId="0" applyNumberFormat="1" applyFont="1" applyFill="1" applyBorder="1" applyAlignment="1">
      <x:alignment vertical="center" wrapText="1"/>
    </x:xf>
    <x:xf numFmtId="0" fontId="70" fillId="15" borderId="0" xfId="0" applyNumberFormat="1" applyFont="1" applyFill="1" applyBorder="1" applyAlignment="1">
      <x:alignment horizontal="center" vertical="center" wrapText="1"/>
    </x:xf>
    <x:xf numFmtId="0" fontId="64" fillId="9" borderId="128" xfId="0" applyNumberFormat="1" applyFont="1" applyFill="1" applyBorder="1" applyAlignment="1">
      <x:alignment horizontal="center" vertical="center" wrapText="1"/>
    </x:xf>
    <x:xf numFmtId="0" fontId="64" fillId="9" borderId="129" xfId="0" applyNumberFormat="1" applyFont="1" applyFill="1" applyBorder="1" applyAlignment="1">
      <x:alignment horizontal="center" vertical="center" wrapText="1"/>
    </x:xf>
    <x:xf numFmtId="0" fontId="64" fillId="9" borderId="128" xfId="0" applyNumberFormat="1" applyFont="1" applyFill="1" applyBorder="1" applyAlignment="1">
      <x:alignment horizontal="left" vertical="center" wrapText="1"/>
    </x:xf>
    <x:xf numFmtId="0" fontId="64" fillId="9" borderId="129" xfId="0" applyNumberFormat="1" applyFont="1" applyFill="1" applyBorder="1" applyAlignment="1">
      <x:alignment horizontal="left" vertical="center" wrapText="1"/>
    </x:xf>
    <x:xf numFmtId="0" fontId="64" fillId="9" borderId="0" xfId="0" applyNumberFormat="1" applyFont="1" applyFill="1" applyBorder="1" applyAlignment="1">
      <x:alignment vertical="center" wrapText="1"/>
    </x:xf>
    <x:xf numFmtId="0" fontId="64" fillId="9" borderId="128" xfId="0" applyNumberFormat="1" applyFont="1" applyFill="1" applyBorder="1" applyAlignment="1">
      <x:alignment vertical="center" wrapText="1"/>
    </x:xf>
    <x:xf numFmtId="0" fontId="64" fillId="9" borderId="129" xfId="0" applyNumberFormat="1" applyFont="1" applyFill="1" applyBorder="1" applyAlignment="1">
      <x:alignment vertical="center" wrapText="1"/>
    </x:xf>
    <x:xf numFmtId="0" fontId="64" fillId="9" borderId="130" xfId="0" applyNumberFormat="1" applyFont="1" applyFill="1" applyBorder="1" applyAlignment="1">
      <x:alignment horizontal="center" vertical="center" wrapText="1"/>
    </x:xf>
    <x:xf numFmtId="0" fontId="64" fillId="9" borderId="130" xfId="0" applyNumberFormat="1" applyFont="1" applyFill="1" applyBorder="1" applyAlignment="1">
      <x:alignment horizontal="left" vertical="center" wrapText="1"/>
    </x:xf>
    <x:xf numFmtId="0" fontId="64" fillId="27" borderId="14" xfId="0" applyNumberFormat="1" applyFont="1" applyFill="1" applyBorder="1" applyAlignment="1">
      <x:alignment horizontal="center" vertical="center" wrapText="1"/>
    </x:xf>
    <x:xf numFmtId="0" fontId="63" fillId="27" borderId="0" xfId="0" applyNumberFormat="1" applyFont="1" applyFill="1" applyBorder="1" applyAlignment="1">
      <x:alignment horizontal="center" vertical="center" wrapText="1"/>
    </x:xf>
    <x:xf numFmtId="0" fontId="31" fillId="27" borderId="14" xfId="0" applyNumberFormat="1" applyFont="1" applyFill="1" applyBorder="1" applyAlignment="1">
      <x:alignment horizontal="center" vertical="center" wrapText="1"/>
    </x:xf>
    <x:xf numFmtId="0" fontId="31" fillId="27" borderId="0" xfId="0" applyNumberFormat="1" applyFont="1" applyFill="1" applyBorder="1" applyAlignment="1">
      <x:alignment horizontal="center" vertical="center" wrapText="1"/>
    </x:xf>
    <x:xf numFmtId="0" fontId="31" fillId="27" borderId="14" xfId="0" applyNumberFormat="1" applyFont="1" applyFill="1" applyBorder="1" applyAlignment="1">
      <x:alignment horizontal="left" vertical="center" wrapText="1"/>
    </x:xf>
    <x:xf numFmtId="0" fontId="31" fillId="27" borderId="0" xfId="0" applyNumberFormat="1" applyFont="1" applyFill="1" applyBorder="1" applyAlignment="1">
      <x:alignment horizontal="left" vertical="center" wrapText="1"/>
    </x:xf>
    <x:xf numFmtId="0" fontId="63" fillId="27" borderId="14" xfId="0" applyNumberFormat="1" applyFont="1" applyFill="1" applyBorder="1" applyAlignment="1">
      <x:alignment horizontal="center" vertical="center" wrapText="1"/>
    </x:xf>
    <x:xf numFmtId="0" fontId="72" fillId="27" borderId="14" xfId="0" applyNumberFormat="1" applyFont="1" applyFill="1" applyBorder="1" applyAlignment="1">
      <x:alignment horizontal="center" vertical="center" wrapText="1"/>
    </x:xf>
    <x:xf numFmtId="0" fontId="72" fillId="27" borderId="0" xfId="0" applyNumberFormat="1" applyFont="1" applyFill="1" applyBorder="1" applyAlignment="1">
      <x:alignment horizontal="center" vertical="center" wrapText="1"/>
    </x:xf>
    <x:xf numFmtId="0" fontId="72" fillId="27" borderId="14" xfId="0" applyNumberFormat="1" applyFont="1" applyFill="1" applyBorder="1" applyAlignment="1">
      <x:alignment horizontal="left" vertical="center" wrapText="1"/>
    </x:xf>
    <x:xf numFmtId="0" fontId="72" fillId="27" borderId="0" xfId="0" applyNumberFormat="1" applyFont="1" applyFill="1" applyBorder="1" applyAlignment="1">
      <x:alignment horizontal="left" vertical="center" wrapText="1"/>
    </x:xf>
    <x:xf numFmtId="0" fontId="68" fillId="27" borderId="14" xfId="0" applyNumberFormat="1" applyFont="1" applyFill="1" applyBorder="1" applyAlignment="1">
      <x:alignment horizontal="center" vertical="center" wrapText="1"/>
    </x:xf>
    <x:xf numFmtId="0" fontId="68" fillId="27" borderId="0" xfId="0" applyNumberFormat="1" applyFont="1" applyFill="1" applyBorder="1" applyAlignment="1">
      <x:alignment horizontal="center" vertical="center" wrapText="1"/>
    </x:xf>
    <x:xf numFmtId="0" fontId="68" fillId="27" borderId="14" xfId="0" applyNumberFormat="1" applyFont="1" applyFill="1" applyBorder="1" applyAlignment="1">
      <x:alignment horizontal="left" vertical="center" wrapText="1"/>
    </x:xf>
    <x:xf numFmtId="0" fontId="68" fillId="27" borderId="0" xfId="0" applyNumberFormat="1" applyFont="1" applyFill="1" applyBorder="1" applyAlignment="1">
      <x:alignment horizontal="left" vertical="center" wrapText="1"/>
    </x:xf>
    <x:xf numFmtId="0" fontId="67" fillId="27" borderId="14" xfId="0" applyNumberFormat="1" applyFont="1" applyFill="1" applyBorder="1" applyAlignment="1">
      <x:alignment horizontal="center" vertical="center" wrapText="1"/>
    </x:xf>
    <x:xf numFmtId="0" fontId="67" fillId="27" borderId="0" xfId="0" applyNumberFormat="1" applyFont="1" applyFill="1" applyBorder="1" applyAlignment="1">
      <x:alignment horizontal="center" vertical="center" wrapText="1"/>
    </x:xf>
    <x:xf numFmtId="0" fontId="73" fillId="27" borderId="14" xfId="0" applyNumberFormat="1" applyFont="1" applyFill="1" applyBorder="1" applyAlignment="1">
      <x:alignment horizontal="center" vertical="center" wrapText="1"/>
    </x:xf>
    <x:xf numFmtId="0" fontId="73" fillId="27" borderId="0" xfId="0" applyNumberFormat="1" applyFont="1" applyFill="1" applyBorder="1" applyAlignment="1">
      <x:alignment horizontal="center" vertical="center" wrapText="1"/>
    </x:xf>
    <x:xf numFmtId="0" fontId="73" fillId="27" borderId="14" xfId="0" applyNumberFormat="1" applyFont="1" applyFill="1" applyBorder="1" applyAlignment="1">
      <x:alignment horizontal="left" vertical="center" wrapText="1"/>
    </x:xf>
    <x:xf numFmtId="0" fontId="73" fillId="27" borderId="0" xfId="0" applyNumberFormat="1" applyFont="1" applyFill="1" applyBorder="1" applyAlignment="1">
      <x:alignment horizontal="left" vertical="center" wrapText="1"/>
    </x:xf>
    <x:xf numFmtId="0" fontId="31" fillId="22" borderId="14" xfId="0" applyNumberFormat="1" applyFont="1" applyFill="1" applyBorder="1" applyAlignment="1">
      <x:alignment horizontal="left" vertical="center" wrapText="1"/>
    </x:xf>
    <x:xf numFmtId="0" fontId="72" fillId="22" borderId="14" xfId="0" applyNumberFormat="1" applyFont="1" applyFill="1" applyBorder="1" applyAlignment="1">
      <x:alignment horizontal="center" vertical="center" wrapText="1"/>
    </x:xf>
    <x:xf numFmtId="0" fontId="72" fillId="22" borderId="0" xfId="0" applyNumberFormat="1" applyFont="1" applyFill="1" applyBorder="1" applyAlignment="1">
      <x:alignment horizontal="center" vertical="center" wrapText="1"/>
    </x:xf>
    <x:xf numFmtId="0" fontId="72" fillId="22" borderId="14" xfId="0" applyNumberFormat="1" applyFont="1" applyFill="1" applyBorder="1" applyAlignment="1">
      <x:alignment horizontal="left" vertical="center" wrapText="1"/>
    </x:xf>
    <x:xf numFmtId="0" fontId="72" fillId="22" borderId="0" xfId="0" applyNumberFormat="1" applyFont="1" applyFill="1" applyBorder="1" applyAlignment="1">
      <x:alignment horizontal="left" vertical="center" wrapText="1"/>
    </x:xf>
    <x:xf numFmtId="0" fontId="68" fillId="22" borderId="14" xfId="0" applyNumberFormat="1" applyFont="1" applyFill="1" applyBorder="1" applyAlignment="1">
      <x:alignment horizontal="left" vertical="center" wrapText="1"/>
    </x:xf>
    <x:xf numFmtId="0" fontId="73" fillId="22" borderId="14" xfId="0" applyNumberFormat="1" applyFont="1" applyFill="1" applyBorder="1" applyAlignment="1">
      <x:alignment horizontal="center" vertical="center" wrapText="1"/>
    </x:xf>
    <x:xf numFmtId="0" fontId="73" fillId="22" borderId="0" xfId="0" applyNumberFormat="1" applyFont="1" applyFill="1" applyBorder="1" applyAlignment="1">
      <x:alignment horizontal="center" vertical="center" wrapText="1"/>
    </x:xf>
    <x:xf numFmtId="0" fontId="73" fillId="22" borderId="14" xfId="0" applyNumberFormat="1" applyFont="1" applyFill="1" applyBorder="1" applyAlignment="1">
      <x:alignment horizontal="left" vertical="center" wrapText="1"/>
    </x:xf>
    <x:xf numFmtId="0" fontId="73" fillId="22" borderId="0" xfId="0" applyNumberFormat="1" applyFont="1" applyFill="1" applyBorder="1" applyAlignment="1">
      <x:alignment horizontal="left" vertical="center" wrapText="1"/>
    </x:xf>
    <x:xf numFmtId="0" fontId="64" fillId="28" borderId="0" xfId="0" applyNumberFormat="1" applyFont="1" applyFill="1" applyBorder="1" applyAlignment="1">
      <x:alignment horizontal="left" vertical="center" wrapText="1"/>
    </x:xf>
    <x:xf numFmtId="0" fontId="63" fillId="28" borderId="0" xfId="0" applyNumberFormat="1" applyFont="1" applyFill="1" applyBorder="1" applyAlignment="1">
      <x:alignment horizontal="center" vertical="center" wrapText="1"/>
    </x:xf>
    <x:xf numFmtId="0" fontId="63" fillId="28" borderId="14" xfId="0" applyNumberFormat="1" applyFont="1" applyFill="1" applyBorder="1" applyAlignment="1">
      <x:alignment horizontal="center" vertical="center" wrapText="1"/>
    </x:xf>
    <x:xf numFmtId="0" fontId="64" fillId="28" borderId="0" xfId="0" applyNumberFormat="1" applyFont="1" applyFill="1" applyBorder="1" applyAlignment="1">
      <x:alignment horizontal="left" vertical="center" wrapText="0"/>
    </x:xf>
    <x:xf numFmtId="0" fontId="63" fillId="28" borderId="0" xfId="0" applyNumberFormat="1" applyFont="1" applyFill="1" applyBorder="1" applyAlignment="1">
      <x:alignment horizontal="center" vertical="center" wrapText="0"/>
    </x:xf>
    <x:xf numFmtId="0" fontId="63" fillId="28" borderId="14" xfId="0" applyNumberFormat="1" applyFont="1" applyFill="1" applyBorder="1" applyAlignment="1">
      <x:alignment horizontal="center" vertical="center" wrapText="0"/>
    </x:xf>
    <x:xf numFmtId="0" fontId="64" fillId="28" borderId="0" xfId="0" applyNumberFormat="1" applyFont="1" applyFill="1" applyBorder="1" applyAlignment="1">
      <x:alignment horizontal="center" vertical="center" wrapText="1"/>
    </x:xf>
    <x:xf numFmtId="0" fontId="31" fillId="28" borderId="14" xfId="0" applyNumberFormat="1" applyFont="1" applyFill="1" applyBorder="1" applyAlignment="1">
      <x:alignment horizontal="left" vertical="center" wrapText="1"/>
    </x:xf>
    <x:xf numFmtId="0" fontId="31" fillId="28" borderId="0" xfId="0" applyNumberFormat="1" applyFont="1" applyFill="1" applyBorder="1" applyAlignment="1">
      <x:alignment horizontal="left" vertical="center" wrapText="1"/>
    </x:xf>
    <x:xf numFmtId="0" fontId="64" fillId="28" borderId="0" xfId="0" applyNumberFormat="1" applyFont="1" applyFill="1" applyBorder="1" applyAlignment="1">
      <x:alignment horizontal="center" vertical="center" wrapText="0"/>
    </x:xf>
    <x:xf numFmtId="0" fontId="31" fillId="28" borderId="14" xfId="0" applyNumberFormat="1" applyFont="1" applyFill="1" applyBorder="1" applyAlignment="1">
      <x:alignment horizontal="left" vertical="center" wrapText="0"/>
    </x:xf>
    <x:xf numFmtId="0" fontId="31" fillId="28" borderId="0" xfId="0" applyNumberFormat="1" applyFont="1" applyFill="1" applyBorder="1" applyAlignment="1">
      <x:alignment horizontal="left" vertical="center" wrapText="0"/>
    </x:xf>
    <x:xf numFmtId="0" fontId="72" fillId="28" borderId="14" xfId="0" applyNumberFormat="1" applyFont="1" applyFill="1" applyBorder="1" applyAlignment="1">
      <x:alignment horizontal="left" vertical="center" wrapText="1"/>
    </x:xf>
    <x:xf numFmtId="0" fontId="72" fillId="28" borderId="0" xfId="0" applyNumberFormat="1" applyFont="1" applyFill="1" applyBorder="1" applyAlignment="1">
      <x:alignment horizontal="left" vertical="center" wrapText="1"/>
    </x:xf>
    <x:xf numFmtId="0" fontId="72" fillId="28" borderId="14" xfId="0" applyNumberFormat="1" applyFont="1" applyFill="1" applyBorder="1" applyAlignment="1">
      <x:alignment horizontal="left" vertical="center" wrapText="0"/>
    </x:xf>
    <x:xf numFmtId="0" fontId="72" fillId="28" borderId="0" xfId="0" applyNumberFormat="1" applyFont="1" applyFill="1" applyBorder="1" applyAlignment="1">
      <x:alignment horizontal="left" vertical="center" wrapText="0"/>
    </x:xf>
    <x:xf numFmtId="0" fontId="31" fillId="28" borderId="0" xfId="0" applyNumberFormat="1" applyFont="1" applyFill="1" applyBorder="1" applyAlignment="1">
      <x:alignment horizontal="center" vertical="center" wrapText="1"/>
    </x:xf>
    <x:xf numFmtId="0" fontId="68" fillId="28" borderId="14" xfId="0" applyNumberFormat="1" applyFont="1" applyFill="1" applyBorder="1" applyAlignment="1">
      <x:alignment horizontal="left" vertical="center" wrapText="1"/>
    </x:xf>
    <x:xf numFmtId="0" fontId="68" fillId="28" borderId="0" xfId="0" applyNumberFormat="1" applyFont="1" applyFill="1" applyBorder="1" applyAlignment="1">
      <x:alignment horizontal="left" vertical="center" wrapText="1"/>
    </x:xf>
    <x:xf numFmtId="0" fontId="31" fillId="28" borderId="0" xfId="0" applyNumberFormat="1" applyFont="1" applyFill="1" applyBorder="1" applyAlignment="1">
      <x:alignment horizontal="center" vertical="center" wrapText="0"/>
    </x:xf>
    <x:xf numFmtId="0" fontId="68" fillId="28" borderId="14" xfId="0" applyNumberFormat="1" applyFont="1" applyFill="1" applyBorder="1" applyAlignment="1">
      <x:alignment horizontal="left" vertical="center" wrapText="0"/>
    </x:xf>
    <x:xf numFmtId="0" fontId="68" fillId="28" borderId="0" xfId="0" applyNumberFormat="1" applyFont="1" applyFill="1" applyBorder="1" applyAlignment="1">
      <x:alignment horizontal="left" vertical="center" wrapText="0"/>
    </x:xf>
    <x:xf numFmtId="0" fontId="67" fillId="28" borderId="0" xfId="0" applyNumberFormat="1" applyFont="1" applyFill="1" applyBorder="1" applyAlignment="1">
      <x:alignment horizontal="center" vertical="center" wrapText="1"/>
    </x:xf>
    <x:xf numFmtId="0" fontId="73" fillId="28" borderId="14" xfId="0" applyNumberFormat="1" applyFont="1" applyFill="1" applyBorder="1" applyAlignment="1">
      <x:alignment horizontal="left" vertical="center" wrapText="1"/>
    </x:xf>
    <x:xf numFmtId="0" fontId="73" fillId="28" borderId="0" xfId="0" applyNumberFormat="1" applyFont="1" applyFill="1" applyBorder="1" applyAlignment="1">
      <x:alignment horizontal="left" vertical="center" wrapText="1"/>
    </x:xf>
    <x:xf numFmtId="0" fontId="67" fillId="28" borderId="0" xfId="0" applyNumberFormat="1" applyFont="1" applyFill="1" applyBorder="1" applyAlignment="1">
      <x:alignment horizontal="center" vertical="center" wrapText="0"/>
    </x:xf>
    <x:xf numFmtId="0" fontId="73" fillId="28" borderId="14" xfId="0" applyNumberFormat="1" applyFont="1" applyFill="1" applyBorder="1" applyAlignment="1">
      <x:alignment horizontal="left" vertical="center" wrapText="0"/>
    </x:xf>
    <x:xf numFmtId="0" fontId="73" fillId="28" borderId="0" xfId="0" applyNumberFormat="1" applyFont="1" applyFill="1" applyBorder="1" applyAlignment="1">
      <x:alignment horizontal="left" vertical="center" wrapText="0"/>
    </x:xf>
    <x:xf numFmtId="0" fontId="68" fillId="28" borderId="0" xfId="0" applyNumberFormat="1" applyFont="1" applyFill="1" applyBorder="1" applyAlignment="1">
      <x:alignment horizontal="center" vertical="center" wrapText="1"/>
    </x:xf>
    <x:xf numFmtId="0" fontId="68" fillId="28" borderId="14" xfId="0" applyNumberFormat="1" applyFont="1" applyFill="1" applyBorder="1" applyAlignment="1">
      <x:alignment horizontal="center" vertical="center" wrapText="1"/>
    </x:xf>
    <x:xf numFmtId="0" fontId="68" fillId="28" borderId="0" xfId="0" applyNumberFormat="1" applyFont="1" applyFill="1" applyBorder="1" applyAlignment="1">
      <x:alignment horizontal="center" vertical="center" wrapText="0"/>
    </x:xf>
    <x:xf numFmtId="0" fontId="68" fillId="28" borderId="14" xfId="0" applyNumberFormat="1" applyFont="1" applyFill="1" applyBorder="1" applyAlignment="1">
      <x:alignment horizontal="center" vertical="center" wrapText="0"/>
    </x:xf>
    <x:xf numFmtId="0" fontId="64" fillId="28" borderId="133" xfId="0" applyNumberFormat="1" applyFont="1" applyFill="1" applyBorder="1" applyAlignment="1">
      <x:alignment horizontal="left" vertical="center" wrapText="0"/>
    </x:xf>
    <x:xf numFmtId="0" fontId="64" fillId="28" borderId="134" xfId="0" applyNumberFormat="1" applyFont="1" applyFill="1" applyBorder="1" applyAlignment="1">
      <x:alignment horizontal="center" vertical="center" wrapText="0"/>
    </x:xf>
    <x:xf numFmtId="0" fontId="63" fillId="28" borderId="135" xfId="0" applyNumberFormat="1" applyFont="1" applyFill="1" applyBorder="1" applyAlignment="1">
      <x:alignment horizontal="center" vertical="center" wrapText="0"/>
    </x:xf>
    <x:xf numFmtId="0" fontId="63" fillId="28" borderId="136" xfId="0" applyNumberFormat="1" applyFont="1" applyFill="1" applyBorder="1" applyAlignment="1">
      <x:alignment horizontal="center" vertical="center" wrapText="0"/>
    </x:xf>
    <x:xf numFmtId="0" fontId="31" fillId="28" borderId="135" xfId="0" applyNumberFormat="1" applyFont="1" applyFill="1" applyBorder="1" applyAlignment="1">
      <x:alignment horizontal="center" vertical="center" wrapText="0"/>
    </x:xf>
    <x:xf numFmtId="0" fontId="31" fillId="28" borderId="136" xfId="0" applyNumberFormat="1" applyFont="1" applyFill="1" applyBorder="1" applyAlignment="1">
      <x:alignment horizontal="center" vertical="center" wrapText="0"/>
    </x:xf>
    <x:xf numFmtId="0" fontId="67" fillId="28" borderId="137" xfId="0" applyNumberFormat="1" applyFont="1" applyFill="1" applyBorder="1" applyAlignment="1">
      <x:alignment horizontal="center" vertical="center" wrapText="0"/>
    </x:xf>
    <x:xf numFmtId="0" fontId="67" fillId="28" borderId="138" xfId="0" applyNumberFormat="1" applyFont="1" applyFill="1" applyBorder="1" applyAlignment="1">
      <x:alignment horizontal="center" vertical="center" wrapText="0"/>
    </x:xf>
    <x:xf numFmtId="0" fontId="64" fillId="28" borderId="133" xfId="0" applyNumberFormat="1" applyFont="1" applyFill="1" applyBorder="1" applyAlignment="1">
      <x:alignment horizontal="center" vertical="center" wrapText="0"/>
    </x:xf>
    <x:xf numFmtId="0" fontId="74" fillId="28" borderId="14" xfId="0" applyNumberFormat="1" applyFont="1" applyFill="1" applyBorder="1" applyAlignment="1">
      <x:alignment horizontal="left" vertical="center" wrapText="0"/>
    </x:xf>
    <x:xf numFmtId="0" fontId="74" fillId="28" borderId="0" xfId="0" applyNumberFormat="1" applyFont="1" applyFill="1" applyBorder="1" applyAlignment="1">
      <x:alignment horizontal="left" vertical="center" wrapText="0"/>
    </x:xf>
    <x:xf numFmtId="0" fontId="64" fillId="29" borderId="13" xfId="0" applyNumberFormat="1" applyFont="1" applyFill="1" applyBorder="1" applyAlignment="1">
      <x:alignment horizontal="center" vertical="center" wrapText="1"/>
    </x:xf>
    <x:xf numFmtId="0" fontId="64" fillId="29" borderId="0" xfId="0" applyNumberFormat="1" applyFont="1" applyFill="1" applyBorder="1" applyAlignment="1">
      <x:alignment horizontal="center" vertical="center" wrapText="1"/>
    </x:xf>
    <x:xf numFmtId="0" fontId="64" fillId="29" borderId="14" xfId="0" applyNumberFormat="1" applyFont="1" applyFill="1" applyBorder="1" applyAlignment="1">
      <x:alignment horizontal="center" vertical="center" wrapText="1"/>
    </x:xf>
    <x:xf numFmtId="0" fontId="63" fillId="29" borderId="0" xfId="0" applyNumberFormat="1" applyFont="1" applyFill="1" applyBorder="1" applyAlignment="1">
      <x:alignment horizontal="center" vertical="center" wrapText="1"/>
    </x:xf>
    <x:xf numFmtId="0" fontId="63" fillId="29" borderId="15" xfId="0" applyNumberFormat="1" applyFont="1" applyFill="1" applyBorder="1" applyAlignment="1">
      <x:alignment vertical="center" wrapText="1"/>
    </x:xf>
    <x:xf numFmtId="0" fontId="63" fillId="29" borderId="16" xfId="0" applyNumberFormat="1" applyFont="1" applyFill="1" applyBorder="1" applyAlignment="1">
      <x:alignment vertical="center" wrapText="1"/>
    </x:xf>
    <x:xf numFmtId="0" fontId="63" fillId="29" borderId="17" xfId="0" applyNumberFormat="1" applyFont="1" applyFill="1" applyBorder="1" applyAlignment="1">
      <x:alignment vertical="center" wrapText="1"/>
    </x:xf>
    <x:xf numFmtId="0" fontId="63" fillId="2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54747"/>
      </x:font>
      <x:fill>
        <x:patternFill>
          <x:bgColor rgb="FFFDE8E8"/>
        </x:patternFill>
      </x:fill>
    </x:dxf>
    <x:dxf>
      <x:font>
        <x:b/>
        <x:color rgb="FFB54747"/>
      </x:font>
      <x:fill>
        <x:patternFill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88c4cd050c4d8e" /><Relationship Type="http://schemas.openxmlformats.org/officeDocument/2006/relationships/theme" Target="/xl/theme/theme1.xml" Id="R4de7954680104ff7" /><Relationship Type="http://schemas.openxmlformats.org/officeDocument/2006/relationships/sharedStrings" Target="/xl/sharedStrings.xml" Id="R8377fbe039144a1b" /><Relationship Type="http://schemas.openxmlformats.org/officeDocument/2006/relationships/worksheet" Target="/xl/worksheets/sheet1.xml" Id="R065974291cf844a6" /><Relationship Type="http://schemas.openxmlformats.org/officeDocument/2006/relationships/worksheet" Target="/xl/worksheets/sheet2.xml" Id="R9015601d01d84362" /><Relationship Type="http://schemas.openxmlformats.org/officeDocument/2006/relationships/worksheet" Target="/xl/worksheets/sheet3.xml" Id="R747793b8c43c4446" /><Relationship Type="http://schemas.openxmlformats.org/officeDocument/2006/relationships/worksheet" Target="/xl/worksheets/sheet4.xml" Id="R44a4657b3f7648e3" /><Relationship Type="http://schemas.openxmlformats.org/officeDocument/2006/relationships/worksheet" Target="/xl/worksheets/sheet5.xml" Id="Rf0675cd572f543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f5fb475402742b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2b0a010e6b2485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1d39211d6b43b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Valor contratado</c:v>
          </c:tx>
          <c:cat>
            <c:strRef>
              <c:f>'Painel Executivo'!$N$21:$N$35</c:f>
              <c:strCache>
                <c:ptCount val="0"/>
              </c:strCache>
            </c:strRef>
          </c:cat>
          <c:val>
            <c:numRef>
              <c:f>'Painel Executivo'!$O$21:$O$35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CE2E8"/>
              </a:solidFill>
              <a:prstDash val="solid"/>
            </a:ln>
          </c:spPr>
        </c:majorGridlines>
        <c:numFmt formatCode="R$ 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0" cy="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5fb475402742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18000</xdr:colOff>
      <xdr:row>0</xdr:row>
      <xdr:rowOff>129600</xdr:rowOff>
    </xdr:from>
    <xdr:ext cx="990600" cy="5143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b0a010e6b248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13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1d39211d6b43b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c11ff5364040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ea3f59d172c45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fb31b5414cb74c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5" width="22" customWidth="1"/>
    <x:col min="6" max="6" width="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0" customHeight="1">
      <x:c r="A1" s="2042" t="str">
        <x:v>BM-01  •  01/07/2026</x:v>
      </x:c>
      <x:c r="B1" s="2043"/>
      <x:c r="C1" s="2043"/>
      <x:c r="D1" s="2044"/>
      <x:c r="E1" s="2045"/>
      <x:c r="F1" s="2045"/>
    </x:row>
    <x:row r="2" ht="3" customHeight="1">
      <x:c r="A2" s="2309"/>
      <x:c r="B2" s="2310"/>
      <x:c r="C2" s="2310"/>
      <x:c r="D2" s="2311"/>
      <x:c r="E2" s="2312"/>
      <x:c r="F2" s="2312"/>
    </x:row>
    <x:row r="3" ht="24" customHeight="1">
      <x:c r="A3" s="2050"/>
      <x:c r="B3" s="2269"/>
      <x:c r="C3" s="2270"/>
      <x:c r="D3" s="2271"/>
      <x:c r="E3" s="2270"/>
      <x:c r="F3" s="2049"/>
    </x:row>
    <x:row r="4" ht="24" customHeight="1">
      <x:c r="A4" s="2050"/>
      <x:c r="B4" s="2306"/>
      <x:c r="C4" s="2299"/>
      <x:c r="D4" s="2276" t="str">
        <x:v>BOLETIM DE MEDIÇÃO</x:v>
      </x:c>
      <x:c r="E4" s="2277"/>
      <x:c r="F4" s="2049"/>
    </x:row>
    <x:row r="5" ht="20" customHeight="1">
      <x:c r="A5" s="2053"/>
      <x:c r="B5" s="2300"/>
      <x:c r="C5" s="2301"/>
      <x:c r="D5" s="2280" t="str">
        <x:v>CRAS PASSO  •  São Borja/RS</x:v>
      </x:c>
      <x:c r="E5" s="2281"/>
      <x:c r="F5" s="2049"/>
    </x:row>
    <x:row r="6" ht="20" customHeight="1">
      <x:c r="A6" s="2050"/>
      <x:c r="B6" s="2302"/>
      <x:c r="C6" s="2303"/>
      <x:c r="D6" s="2286" t="str">
        <x:v>BM-01  •  01/07/2026</x:v>
      </x:c>
      <x:c r="E6" s="2287"/>
      <x:c r="F6" s="2049"/>
    </x:row>
    <x:row r="7" ht="18" customHeight="1">
      <x:c r="A7" s="2053"/>
      <x:c r="B7" s="2304"/>
      <x:c r="C7" s="2305"/>
      <x:c r="D7" s="2307" t="str">
        <x:v>SOLV Construtora e Soluções Ltda</x:v>
      </x:c>
      <x:c r="E7" s="2308"/>
      <x:c r="F7" s="2049"/>
    </x:row>
    <x:row r="8" ht="18" customHeight="1">
      <x:c r="A8" s="2050"/>
      <x:c r="B8" s="2296"/>
      <x:c r="C8" s="2296"/>
      <x:c r="D8" s="2297"/>
      <x:c r="E8" s="2296"/>
      <x:c r="F8" s="2049"/>
    </x:row>
    <x:row r="9" ht="3" customHeight="1">
      <x:c r="A9" s="2313"/>
      <x:c r="B9" s="2314"/>
      <x:c r="C9" s="2314"/>
      <x:c r="D9" s="2315"/>
      <x:c r="E9" s="2316"/>
      <x:c r="F9" s="2316"/>
    </x:row>
    <x:row r="10" ht="8" customHeight="1">
      <x:c r="A10" s="2041"/>
      <x:c r="B10" s="2041"/>
      <x:c r="C10" s="2041"/>
      <x:c r="D10" s="2041"/>
      <x:c r="E10" s="2041"/>
      <x:c r="F10" s="2041"/>
    </x:row>
    <x:row r="11" ht="24" customHeight="1">
      <x:c r="A11" s="2041"/>
      <x:c r="B11" s="2075" t="str">
        <x:v>DOCUMENTO OFICIAL</x:v>
      </x:c>
      <x:c r="C11" s="2075"/>
      <x:c r="D11" s="2075"/>
      <x:c r="E11" s="2075"/>
      <x:c r="F11" s="2041"/>
    </x:row>
    <x:row r="12" ht="18" customHeight="1">
      <x:c r="A12" s="2041"/>
      <x:c r="B12" s="2078" t="str">
        <x:v>Resumo institucional da medição</x:v>
      </x:c>
      <x:c r="C12" s="2078"/>
      <x:c r="D12" s="2078"/>
      <x:c r="E12" s="2078"/>
      <x:c r="F12" s="2041"/>
    </x:row>
    <x:row r="13" ht="8" customHeight="1">
      <x:c r="A13" s="2028"/>
      <x:c r="B13" s="2028"/>
      <x:c r="C13" s="2028"/>
      <x:c r="D13" s="2028"/>
      <x:c r="E13" s="2028"/>
      <x:c r="F13" s="2028"/>
    </x:row>
    <x:row r="14" ht="8" customHeight="1">
      <x:c r="A14" s="2041"/>
      <x:c r="B14" s="2041"/>
      <x:c r="C14" s="2041"/>
      <x:c r="D14" s="2041"/>
      <x:c r="E14" s="2041"/>
      <x:c r="F14" s="2041"/>
    </x:row>
    <x:row r="15" ht="24" customHeight="1">
      <x:c r="A15" s="2028"/>
      <x:c r="B15" s="2083" t="str">
        <x:v>OBRA</x:v>
      </x:c>
      <x:c r="C15" s="2084"/>
      <x:c r="D15" s="2087" t="str">
        <x:v>Obra Cras Passo</x:v>
      </x:c>
      <x:c r="E15" s="2088"/>
      <x:c r="F15" s="2028"/>
    </x:row>
    <x:row r="16" ht="34" customHeight="1">
      <x:c r="A16" s="2028"/>
      <x:c r="B16" s="2083" t="str">
        <x:v>ENDEREÇO</x:v>
      </x:c>
      <x:c r="C16" s="2084"/>
      <x:c r="D16" s="2087" t="str">
        <x:v>Rua Vereador Alberto Rocha Benevenuto, nº 680, São Borja/RS</x:v>
      </x:c>
      <x:c r="E16" s="2088"/>
      <x:c r="F16" s="2028"/>
    </x:row>
    <x:row r="17" ht="34" customHeight="1">
      <x:c r="A17" s="2026"/>
      <x:c r="B17" s="2083" t="str">
        <x:v>CLIENTE / CONTRATANTE</x:v>
      </x:c>
      <x:c r="C17" s="2084"/>
      <x:c r="D17" s="2087" t="str">
        <x:v>Prefeitura Municipal de São Borja – Setor de Licitações</x:v>
      </x:c>
      <x:c r="E17" s="2088"/>
      <x:c r="F17" s="2026"/>
    </x:row>
    <x:row r="18" ht="24" customHeight="1">
      <x:c r="A18" s="2041"/>
      <x:c r="B18" s="2083" t="str">
        <x:v>EMPRESA EXECUTORA</x:v>
      </x:c>
      <x:c r="C18" s="2084"/>
      <x:c r="D18" s="2087" t="str">
        <x:v>Solv Construtora e Soluções Ltda</x:v>
      </x:c>
      <x:c r="E18" s="2088"/>
      <x:c r="F18" s="2041"/>
    </x:row>
    <x:row r="19" ht="24" customHeight="1">
      <x:c r="A19" s="2028"/>
      <x:c r="B19" s="2103" t="str">
        <x:v>CNPJ EXECUTORA</x:v>
      </x:c>
      <x:c r="C19" s="2104"/>
      <x:c r="D19" s="2106" t="str">
        <x:v>36.419.348/0001-65</x:v>
      </x:c>
      <x:c r="E19" s="2088"/>
      <x:c r="F19" s="2041"/>
    </x:row>
    <x:row r="20" ht="24" customHeight="1">
      <x:c r="A20" s="2028"/>
      <x:c r="B20" s="2103" t="str">
        <x:v>CONTRATO Nº</x:v>
      </x:c>
      <x:c r="C20" s="2104"/>
      <x:c r="D20" s="2106" t="str">
        <x:v>129/2026/SMPOP/DCL</x:v>
      </x:c>
      <x:c r="E20" s="2088"/>
      <x:c r="F20" s="2041"/>
    </x:row>
    <x:row r="21" ht="24" customHeight="1">
      <x:c r="A21" s="2018"/>
      <x:c r="B21" s="2103" t="str">
        <x:v>DATA DA MEDIÇÃO</x:v>
      </x:c>
      <x:c r="C21" s="2113"/>
      <x:c r="D21" s="2106" t="str">
        <x:v>01/07/2026</x:v>
      </x:c>
      <x:c r="E21" s="2088"/>
      <x:c r="F21" s="2041"/>
    </x:row>
    <x:row r="22" ht="24" customHeight="1">
      <x:c r="A22" s="2018"/>
      <x:c r="B22" s="2103" t="str">
        <x:v>RESPONSÁVEL TÉCNICO</x:v>
      </x:c>
      <x:c r="C22" s="2113"/>
      <x:c r="D22" s="2106" t="str">
        <x:v>Luiz Guilherme Schutz Fontela</x:v>
      </x:c>
      <x:c r="E22" s="2088"/>
      <x:c r="F22" s="2041"/>
    </x:row>
    <x:row r="23" ht="30" customHeight="1">
      <x:c r="A23" s="2018"/>
      <x:c r="B23" s="2103" t="str">
        <x:v>FISCAL DA OBRA</x:v>
      </x:c>
      <x:c r="C23" s="2113"/>
      <x:c r="D23" s="2106" t="str">
        <x:v>Eng. Civil Vitor Lindemann – CREA/RS 216676</x:v>
      </x:c>
      <x:c r="E23" s="2088"/>
      <x:c r="F23" s="2041"/>
    </x:row>
    <x:row r="24" ht="8" customHeight="1">
      <x:c r="A24" s="2018"/>
      <x:c r="B24" s="2019"/>
      <x:c r="C24" s="2020"/>
      <x:c r="D24" s="2019"/>
      <x:c r="E24" s="2015"/>
      <x:c r="F24" s="2041"/>
    </x:row>
    <x:row r="25" ht="8" customHeight="1">
      <x:c r="A25" s="2018"/>
      <x:c r="B25" s="2019"/>
      <x:c r="C25" s="2020"/>
      <x:c r="D25" s="2019"/>
      <x:c r="E25" s="2015"/>
      <x:c r="F25" s="2041"/>
    </x:row>
    <x:row r="26" ht="22" customHeight="1">
      <x:c r="A26" s="2018"/>
      <x:c r="B26" s="2118" t="str">
        <x:v>Documento oficial de medição · valores em Reais (R$)</x:v>
      </x:c>
      <x:c r="C26" s="2119"/>
      <x:c r="D26" s="2118"/>
      <x:c r="E26" s="2120"/>
      <x:c r="F26" s="2041"/>
    </x:row>
    <x:row r="27" ht="22" customHeight="1">
      <x:c r="A27" s="2018"/>
      <x:c r="B27" s="2127" t="str">
        <x:v>www.solvconstrutora.com  •  SOLV Construtora</x:v>
      </x:c>
      <x:c r="C27" s="2128"/>
      <x:c r="D27" s="2127"/>
      <x:c r="E27" s="2129"/>
      <x:c r="F27" s="2041"/>
    </x:row>
    <x:row r="28" ht="8" customHeight="1">
      <x:c r="A28" s="2018"/>
      <x:c r="B28" s="2019"/>
      <x:c r="C28" s="2020"/>
      <x:c r="D28" s="2019"/>
      <x:c r="E28" s="2015"/>
      <x:c r="F28" s="2041"/>
    </x:row>
    <x:row r="29" ht="8" customHeight="1">
      <x:c r="A29" s="2018"/>
      <x:c r="B29" s="2019"/>
      <x:c r="C29" s="2020"/>
      <x:c r="D29" s="2019"/>
      <x:c r="E29" s="2015"/>
      <x:c r="F29" s="2041"/>
    </x:row>
    <x:row r="30" ht="8" customHeight="1">
      <x:c r="A30" s="2018"/>
      <x:c r="B30" s="2019"/>
      <x:c r="C30" s="2020"/>
      <x:c r="D30" s="2019"/>
      <x:c r="E30" s="2015"/>
      <x:c r="F30" s="2041"/>
    </x:row>
    <x:row r="31" ht="8" customHeight="1">
      <x:c r="A31" s="2018"/>
      <x:c r="B31" s="2021"/>
      <x:c r="C31" s="2018"/>
      <x:c r="D31" s="2021"/>
      <x:c r="E31" s="2041"/>
      <x:c r="F31" s="2041"/>
    </x:row>
    <x:row r="32" ht="8" customHeight="1">
      <x:c r="A32" s="2018"/>
      <x:c r="B32" s="2021"/>
      <x:c r="C32" s="2018"/>
      <x:c r="D32" s="2021"/>
      <x:c r="E32" s="2041"/>
      <x:c r="F32" s="2041"/>
    </x:row>
    <x:row r="33" ht="8" customHeight="1">
      <x:c r="A33" s="2041"/>
      <x:c r="B33" s="2041"/>
      <x:c r="C33" s="2041"/>
      <x:c r="D33" s="2041"/>
      <x:c r="E33" s="2041"/>
      <x:c r="F33" s="2041"/>
    </x:row>
    <x:row r="34" ht="8" customHeight="1">
      <x:c r="A34" s="2037"/>
      <x:c r="B34" s="2037"/>
      <x:c r="C34" s="2037"/>
      <x:c r="D34" s="2037"/>
      <x:c r="E34" s="2037"/>
      <x:c r="F34" s="2037"/>
    </x:row>
    <x:row r="35" ht="8" customHeight="1">
      <x:c r="A35" s="2028"/>
      <x:c r="B35" s="2028"/>
      <x:c r="C35" s="2028"/>
      <x:c r="D35" s="2028"/>
      <x:c r="E35" s="2028"/>
      <x:c r="F35" s="2028"/>
    </x:row>
  </x:sheetData>
  <x:mergeCells>
    <x:mergeCell ref="A9:F9"/>
    <x:mergeCell ref="A10:F10"/>
    <x:mergeCell ref="A13:F13"/>
    <x:mergeCell ref="A1:F1"/>
    <x:mergeCell ref="B11:E11"/>
    <x:mergeCell ref="B12:E12"/>
    <x:mergeCell ref="B15:C15"/>
    <x:mergeCell ref="D15:E15"/>
    <x:mergeCell ref="B16:C16"/>
    <x:mergeCell ref="D16:E16"/>
    <x:mergeCell ref="B17:C17"/>
    <x:mergeCell ref="D17:E17"/>
    <x:mergeCell ref="B18:C18"/>
    <x:mergeCell ref="D18:E18"/>
    <x:mergeCell ref="B19:C19"/>
    <x:mergeCell ref="D19:E19"/>
    <x:mergeCell ref="B20:C20"/>
    <x:mergeCell ref="D20:E20"/>
    <x:mergeCell ref="B21:C21"/>
    <x:mergeCell ref="D21:E21"/>
    <x:mergeCell ref="B22:C22"/>
    <x:mergeCell ref="D22:E22"/>
    <x:mergeCell ref="B23:C23"/>
    <x:mergeCell ref="D23:E23"/>
    <x:mergeCell ref="B26:E26"/>
    <x:mergeCell ref="B27:E27"/>
    <x:mergeCell ref="B4:C7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1cc11ff53640400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8"/>
  <x:cols>
    <x:col min="1" max="1" width="13" hidden="0" customWidth="1"/>
    <x:col min="2" max="2" width="53" hidden="0" customWidth="1"/>
    <x:col min="3" max="3" width="7" hidden="0" customWidth="1"/>
    <x:col min="4" max="4" width="10" hidden="0" customWidth="1"/>
    <x:col min="5" max="5" width="13" hidden="0" customWidth="1"/>
    <x:col min="6" max="6" width="15" hidden="0" customWidth="1"/>
    <x:col min="7" max="9" width="12" customWidth="1"/>
    <x:col min="10" max="12" width="16" customWidth="1"/>
    <x:col min="13" max="13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316"/>
      <x:c r="B1" s="316"/>
      <x:c r="C1" s="316" t="s">
        <x:v>0</x:v>
      </x:c>
      <x:c r="D1" s="316"/>
      <x:c r="E1" s="316"/>
      <x:c r="F1" s="316"/>
      <x:c r="G1" s="316"/>
      <x:c r="H1" s="316"/>
      <x:c r="I1" s="316" t="s">
        <x:v>1</x:v>
      </x:c>
      <x:c r="J1" s="316"/>
      <x:c r="K1" s="316"/>
      <x:c r="L1" s="316"/>
      <x:c r="M1" s="316"/>
    </x:row>
    <x:row r="2" ht="24" customHeight="1">
      <x:c r="A2" s="327"/>
      <x:c r="B2" s="327"/>
      <x:c r="C2" s="1812" t="str">
        <x:v>BOLETIM DE MEDIÇÃO</x:v>
      </x:c>
      <x:c r="D2" s="1812"/>
      <x:c r="E2" s="1812"/>
      <x:c r="F2" s="328" t="s">
        <x:v>2</x:v>
      </x:c>
      <x:c r="G2" s="328"/>
      <x:c r="H2" s="328"/>
      <x:c r="I2" s="328" t="s">
        <x:v>3</x:v>
      </x:c>
      <x:c r="J2" s="328"/>
      <x:c r="K2" s="329" t="s">
        <x:v>4</x:v>
      </x:c>
      <x:c r="L2" s="329"/>
      <x:c r="M2" s="329"/>
    </x:row>
    <x:row r="3" ht="4" customHeight="1">
      <x:c r="A3" s="336"/>
      <x:c r="B3" s="336"/>
      <x:c r="C3" s="336"/>
      <x:c r="D3" s="336"/>
      <x:c r="E3" s="336"/>
      <x:c r="F3" s="336"/>
      <x:c r="G3" s="336"/>
      <x:c r="H3" s="336"/>
      <x:c r="I3" s="336"/>
      <x:c r="J3" s="336"/>
      <x:c r="K3" s="336"/>
      <x:c r="L3" s="336"/>
      <x:c r="M3" s="336"/>
    </x:row>
    <x:row r="4" ht="23" customHeight="1">
      <x:c r="A4" s="358" t="s">
        <x:v>5</x:v>
      </x:c>
      <x:c r="B4" s="341"/>
      <x:c r="C4" s="341"/>
      <x:c r="D4" s="341"/>
      <x:c r="E4" s="341"/>
      <x:c r="F4" s="341" t="s">
        <x:v>6</x:v>
      </x:c>
      <x:c r="G4" s="341"/>
      <x:c r="H4" s="341"/>
      <x:c r="I4" s="341" t="s">
        <x:v>7</x:v>
      </x:c>
      <x:c r="J4" s="341"/>
      <x:c r="K4" s="341" t="s">
        <x:v>8</x:v>
      </x:c>
      <x:c r="L4" s="341"/>
      <x:c r="M4" s="342"/>
    </x:row>
    <x:row r="5" ht="36" customHeight="1">
      <x:c r="A5" s="1497" t="s">
        <x:v>9</x:v>
      </x:c>
      <x:c r="B5" s="1495"/>
      <x:c r="C5" s="1495"/>
      <x:c r="D5" s="1495"/>
      <x:c r="E5" s="1495"/>
      <x:c r="F5" s="1495" t="s">
        <x:v>10</x:v>
      </x:c>
      <x:c r="G5" s="1495"/>
      <x:c r="H5" s="1495"/>
      <x:c r="I5" s="1495" t="s">
        <x:v>11</x:v>
      </x:c>
      <x:c r="J5" s="1495"/>
      <x:c r="K5" s="1495" t="s">
        <x:v>12</x:v>
      </x:c>
      <x:c r="L5" s="1495"/>
      <x:c r="M5" s="1496"/>
    </x:row>
    <x:row r="6" ht="23" customHeight="1">
      <x:c r="A6" s="358" t="s">
        <x:v>13</x:v>
      </x:c>
      <x:c r="B6" s="341"/>
      <x:c r="C6" s="341"/>
      <x:c r="D6" s="341"/>
      <x:c r="E6" s="341"/>
      <x:c r="F6" s="341" t="s">
        <x:v>14</x:v>
      </x:c>
      <x:c r="G6" s="341"/>
      <x:c r="H6" s="341" t="s">
        <x:v>15</x:v>
      </x:c>
      <x:c r="I6" s="341"/>
      <x:c r="J6" s="341"/>
      <x:c r="K6" s="341" t="s">
        <x:v>16</x:v>
      </x:c>
      <x:c r="L6" s="341"/>
      <x:c r="M6" s="342"/>
    </x:row>
    <x:row r="7" ht="28" customHeight="1">
      <x:c r="A7" s="1497" t="s">
        <x:v>17</x:v>
      </x:c>
      <x:c r="B7" s="1495"/>
      <x:c r="C7" s="1495"/>
      <x:c r="D7" s="1495"/>
      <x:c r="E7" s="1495"/>
      <x:c r="F7" s="1495" t="s">
        <x:v>18</x:v>
      </x:c>
      <x:c r="G7" s="1495"/>
      <x:c r="H7" s="1495" t="s">
        <x:v>19</x:v>
      </x:c>
      <x:c r="I7" s="1495"/>
      <x:c r="J7" s="1495"/>
      <x:c r="K7" s="1495" t="s">
        <x:v>11</x:v>
      </x:c>
      <x:c r="L7" s="1495"/>
      <x:c r="M7" s="1496"/>
    </x:row>
    <x:row r="8" ht="23" customHeight="1">
      <x:c r="A8" s="358" t="s">
        <x:v>20</x:v>
      </x:c>
      <x:c r="B8" s="341"/>
      <x:c r="C8" s="341" t="s">
        <x:v>21</x:v>
      </x:c>
      <x:c r="D8" s="341"/>
      <x:c r="E8" s="341" t="s">
        <x:v>22</x:v>
      </x:c>
      <x:c r="F8" s="341"/>
      <x:c r="G8" s="341"/>
      <x:c r="H8" s="341" t="s">
        <x:v>23</x:v>
      </x:c>
      <x:c r="I8" s="341"/>
      <x:c r="J8" s="341" t="s">
        <x:v>24</x:v>
      </x:c>
      <x:c r="K8" s="341"/>
      <x:c r="L8" s="341" t="s">
        <x:v>25</x:v>
      </x:c>
      <x:c r="M8" s="342"/>
    </x:row>
    <x:row r="9" ht="28" customHeight="1">
      <x:c r="A9" s="1497" t="s">
        <x:v>26</x:v>
      </x:c>
      <x:c r="B9" s="1495"/>
      <x:c r="C9" s="1495" t="s">
        <x:v>27</x:v>
      </x:c>
      <x:c r="D9" s="1495"/>
      <x:c r="E9" s="1495" t="s">
        <x:v>28</x:v>
      </x:c>
      <x:c r="F9" s="1495"/>
      <x:c r="G9" s="1495"/>
      <x:c r="H9" s="1495" t="s">
        <x:v>29</x:v>
      </x:c>
      <x:c r="I9" s="1495"/>
      <x:c r="J9" s="1495" t="s">
        <x:v>30</x:v>
      </x:c>
      <x:c r="K9" s="1495"/>
      <x:c r="L9" s="1495" t="s">
        <x:v>31</x:v>
      </x:c>
      <x:c r="M9" s="1496"/>
    </x:row>
    <x:row r="10" ht="23" customHeight="1">
      <x:c r="A10" s="358" t="s">
        <x:v>32</x:v>
      </x:c>
      <x:c r="B10" s="341"/>
      <x:c r="C10" s="341"/>
      <x:c r="D10" s="341"/>
      <x:c r="E10" s="341"/>
      <x:c r="F10" s="341"/>
      <x:c r="G10" s="341" t="s">
        <x:v>33</x:v>
      </x:c>
      <x:c r="H10" s="341"/>
      <x:c r="I10" s="341"/>
      <x:c r="J10" s="341" t="s">
        <x:v>34</x:v>
      </x:c>
      <x:c r="K10" s="341"/>
      <x:c r="L10" s="341"/>
      <x:c r="M10" s="342"/>
    </x:row>
    <x:row r="11" ht="38" customHeight="1">
      <x:c r="A11" s="1497" t="s">
        <x:v>11</x:v>
      </x:c>
      <x:c r="B11" s="1495"/>
      <x:c r="C11" s="1495"/>
      <x:c r="D11" s="1495"/>
      <x:c r="E11" s="1495"/>
      <x:c r="F11" s="1495"/>
      <x:c r="G11" s="1495" t="s">
        <x:v>35</x:v>
      </x:c>
      <x:c r="H11" s="1495"/>
      <x:c r="I11" s="1495"/>
      <x:c r="J11" s="1495" t="s">
        <x:v>36</x:v>
      </x:c>
      <x:c r="K11" s="1495"/>
      <x:c r="L11" s="1495"/>
      <x:c r="M11" s="1496"/>
    </x:row>
    <x:row r="12" ht="28" customHeight="1">
      <x:c r="A12" s="364" t="s">
        <x:v>37</x:v>
      </x:c>
      <x:c r="B12" s="365" t="s">
        <x:v>38</x:v>
      </x:c>
      <x:c r="C12" s="365" t="s">
        <x:v>39</x:v>
      </x:c>
      <x:c r="D12" s="365" t="s">
        <x:v>40</x:v>
      </x:c>
      <x:c r="E12" s="365" t="s">
        <x:v>41</x:v>
      </x:c>
      <x:c r="F12" s="365" t="s">
        <x:v>42</x:v>
      </x:c>
      <x:c r="G12" s="365" t="s">
        <x:v>43</x:v>
      </x:c>
      <x:c r="H12" s="365"/>
      <x:c r="I12" s="365"/>
      <x:c r="J12" s="365" t="s">
        <x:v>44</x:v>
      </x:c>
      <x:c r="K12" s="365"/>
      <x:c r="L12" s="365"/>
      <x:c r="M12" s="366" t="s">
        <x:v>45</x:v>
      </x:c>
    </x:row>
    <x:row r="13" ht="24" customHeight="1">
      <x:c r="A13" s="374"/>
      <x:c r="B13" s="375"/>
      <x:c r="C13" s="375"/>
      <x:c r="D13" s="375"/>
      <x:c r="E13" s="375"/>
      <x:c r="F13" s="375"/>
      <x:c r="G13" s="375" t="s">
        <x:v>46</x:v>
      </x:c>
      <x:c r="H13" s="375" t="s">
        <x:v>47</x:v>
      </x:c>
      <x:c r="I13" s="375" t="s">
        <x:v>48</x:v>
      </x:c>
      <x:c r="J13" s="375" t="s">
        <x:v>46</x:v>
      </x:c>
      <x:c r="K13" s="375" t="s">
        <x:v>47</x:v>
      </x:c>
      <x:c r="L13" s="375" t="s">
        <x:v>48</x:v>
      </x:c>
      <x:c r="M13" s="376"/>
    </x:row>
    <x:row r="14" ht="23" customHeight="1">
      <x:c r="A14" s="490" t="s">
        <x:v>49</x:v>
      </x:c>
      <x:c r="B14" s="491" t="s">
        <x:v>50</x:v>
      </x:c>
      <x:c r="C14" s="1813"/>
      <x:c r="D14" s="1814"/>
      <x:c r="E14" s="1815"/>
      <x:c r="F14" s="1815"/>
      <x:c r="G14" s="1814"/>
      <x:c r="H14" s="1814"/>
      <x:c r="I14" s="1814"/>
      <x:c r="J14" s="1815"/>
      <x:c r="K14" s="1815"/>
      <x:c r="L14" s="1815"/>
      <x:c r="M14" s="1816"/>
    </x:row>
    <x:row r="15" ht="23" customHeight="1">
      <x:c r="A15" s="514" t="s">
        <x:v>51</x:v>
      </x:c>
      <x:c r="B15" s="515" t="s">
        <x:v>52</x:v>
      </x:c>
      <x:c r="C15" s="1817"/>
      <x:c r="D15" s="1818"/>
      <x:c r="E15" s="1819"/>
      <x:c r="F15" s="1819"/>
      <x:c r="G15" s="1818"/>
      <x:c r="H15" s="1818"/>
      <x:c r="I15" s="1818"/>
      <x:c r="J15" s="1819"/>
      <x:c r="K15" s="1819"/>
      <x:c r="L15" s="1819"/>
      <x:c r="M15" s="1820"/>
    </x:row>
    <x:row r="16" ht="24" customHeight="1">
      <x:c r="A16" s="1822" t="s">
        <x:v>53</x:v>
      </x:c>
      <x:c r="B16" s="1821" t="s">
        <x:v>54</x:v>
      </x:c>
      <x:c r="C16" s="1500" t="s">
        <x:v>55</x:v>
      </x:c>
      <x:c r="D16" s="1538">
        <x:v>64</x:v>
      </x:c>
      <x:c r="E16" s="1541">
        <x:v>84.52</x:v>
      </x:c>
      <x:c r="F16" s="1541" t="n">
        <x:f>ROUND(D16*E16,2)</x:f>
        <x:v>5409.28</x:v>
      </x:c>
      <x:c r="G16" s="1544">
        <x:v>0</x:v>
      </x:c>
      <x:c r="H16" s="579">
        <x:v>0</x:v>
      </x:c>
      <x:c r="I16" s="1544" t="n">
        <x:f>G16+H16</x:f>
        <x:v>0</x:v>
      </x:c>
      <x:c r="J16" s="586">
        <x:v>0</x:v>
      </x:c>
      <x:c r="K16" s="586" t="n">
        <x:f>ROUND(H16*E16,2)</x:f>
        <x:v>0</x:v>
      </x:c>
      <x:c r="L16" s="586" t="n">
        <x:f>J16+K16</x:f>
        <x:v>0</x:v>
      </x:c>
      <x:c r="M16" s="1547" t="n">
        <x:f>IF(D16=0,0,I16/D16)</x:f>
        <x:v>0</x:v>
      </x:c>
    </x:row>
    <x:row r="17" ht="31" customHeight="1">
      <x:c r="A17" s="1824" t="s">
        <x:v>56</x:v>
      </x:c>
      <x:c r="B17" s="1823" t="s">
        <x:v>57</x:v>
      </x:c>
      <x:c r="C17" s="248" t="s">
        <x:v>55</x:v>
      </x:c>
      <x:c r="D17" s="1539">
        <x:v>28</x:v>
      </x:c>
      <x:c r="E17" s="1542">
        <x:v>144.54</x:v>
      </x:c>
      <x:c r="F17" s="1542" t="n">
        <x:f>ROUND(D17*E17,2)</x:f>
        <x:v>4047.12</x:v>
      </x:c>
      <x:c r="G17" s="1545">
        <x:v>0</x:v>
      </x:c>
      <x:c r="H17" s="579">
        <x:v>0</x:v>
      </x:c>
      <x:c r="I17" s="1545" t="n">
        <x:f>G17+H17</x:f>
        <x:v>0</x:v>
      </x:c>
      <x:c r="J17" s="586">
        <x:v>0</x:v>
      </x:c>
      <x:c r="K17" s="586" t="n">
        <x:f>ROUND(H17*E17,2)</x:f>
        <x:v>0</x:v>
      </x:c>
      <x:c r="L17" s="586" t="n">
        <x:f>J17+K17</x:f>
        <x:v>0</x:v>
      </x:c>
      <x:c r="M17" s="1548" t="n">
        <x:f>IF(D17=0,0,I17/D17)</x:f>
        <x:v>0</x:v>
      </x:c>
    </x:row>
    <x:row r="18" ht="23" customHeight="1">
      <x:c r="A18" s="514" t="s">
        <x:v>58</x:v>
      </x:c>
      <x:c r="B18" s="515" t="s">
        <x:v>59</x:v>
      </x:c>
      <x:c r="C18" s="1817"/>
      <x:c r="D18" s="1818"/>
      <x:c r="E18" s="1819"/>
      <x:c r="F18" s="1819"/>
      <x:c r="G18" s="1818"/>
      <x:c r="H18" s="1818"/>
      <x:c r="I18" s="1818"/>
      <x:c r="J18" s="1819"/>
      <x:c r="K18" s="1819"/>
      <x:c r="L18" s="1819"/>
      <x:c r="M18" s="1820"/>
    </x:row>
    <x:row r="19" ht="31" customHeight="1">
      <x:c r="A19" s="1822" t="s">
        <x:v>60</x:v>
      </x:c>
      <x:c r="B19" s="1821" t="s">
        <x:v>61</x:v>
      </x:c>
      <x:c r="C19" s="1500" t="s">
        <x:v>62</x:v>
      </x:c>
      <x:c r="D19" s="1538">
        <x:v>3.6</x:v>
      </x:c>
      <x:c r="E19" s="1541">
        <x:v>134.39</x:v>
      </x:c>
      <x:c r="F19" s="1541" t="n">
        <x:f>ROUND(D19*E19,2)</x:f>
        <x:v>483.8</x:v>
      </x:c>
      <x:c r="G19" s="1544">
        <x:v>0</x:v>
      </x:c>
      <x:c r="H19" s="579">
        <x:v>0</x:v>
      </x:c>
      <x:c r="I19" s="1544" t="n">
        <x:f>G19+H19</x:f>
        <x:v>0</x:v>
      </x:c>
      <x:c r="J19" s="586">
        <x:v>0</x:v>
      </x:c>
      <x:c r="K19" s="586" t="n">
        <x:f>ROUND(H19*E19,2)</x:f>
        <x:v>0</x:v>
      </x:c>
      <x:c r="L19" s="586" t="n">
        <x:f>J19+K19</x:f>
        <x:v>0</x:v>
      </x:c>
      <x:c r="M19" s="1547" t="n">
        <x:f>IF(D19=0,0,I19/D19)</x:f>
        <x:v>0</x:v>
      </x:c>
    </x:row>
    <x:row r="20" ht="24" customHeight="1">
      <x:c r="A20" s="1824" t="s">
        <x:v>63</x:v>
      </x:c>
      <x:c r="B20" s="1823" t="s">
        <x:v>64</x:v>
      </x:c>
      <x:c r="C20" s="248" t="s">
        <x:v>65</x:v>
      </x:c>
      <x:c r="D20" s="1539">
        <x:v>87.69</x:v>
      </x:c>
      <x:c r="E20" s="1542">
        <x:v>18.58</x:v>
      </x:c>
      <x:c r="F20" s="1542" t="n">
        <x:f>ROUND(D20*E20,2)</x:f>
        <x:v>1629.28</x:v>
      </x:c>
      <x:c r="G20" s="1545">
        <x:v>0</x:v>
      </x:c>
      <x:c r="H20" s="579">
        <x:v>0</x:v>
      </x:c>
      <x:c r="I20" s="1545" t="n">
        <x:f>G20+H20</x:f>
        <x:v>0</x:v>
      </x:c>
      <x:c r="J20" s="586">
        <x:v>0</x:v>
      </x:c>
      <x:c r="K20" s="586" t="n">
        <x:f>ROUND(H20*E20,2)</x:f>
        <x:v>0</x:v>
      </x:c>
      <x:c r="L20" s="586" t="n">
        <x:f>J20+K20</x:f>
        <x:v>0</x:v>
      </x:c>
      <x:c r="M20" s="1548" t="n">
        <x:f>IF(D20=0,0,I20/D20)</x:f>
        <x:v>0</x:v>
      </x:c>
    </x:row>
    <x:row r="21" ht="31" customHeight="1">
      <x:c r="A21" s="1822" t="s">
        <x:v>66</x:v>
      </x:c>
      <x:c r="B21" s="1821" t="s">
        <x:v>67</x:v>
      </x:c>
      <x:c r="C21" s="1500" t="s">
        <x:v>65</x:v>
      </x:c>
      <x:c r="D21" s="1538">
        <x:v>14.96</x:v>
      </x:c>
      <x:c r="E21" s="1541">
        <x:v>28.61</x:v>
      </x:c>
      <x:c r="F21" s="1541" t="n">
        <x:f>ROUND(D21*E21,2)</x:f>
        <x:v>428.01</x:v>
      </x:c>
      <x:c r="G21" s="1544">
        <x:v>0</x:v>
      </x:c>
      <x:c r="H21" s="579">
        <x:v>0</x:v>
      </x:c>
      <x:c r="I21" s="1544" t="n">
        <x:f>G21+H21</x:f>
        <x:v>0</x:v>
      </x:c>
      <x:c r="J21" s="586">
        <x:v>0</x:v>
      </x:c>
      <x:c r="K21" s="586" t="n">
        <x:f>ROUND(H21*E21,2)</x:f>
        <x:v>0</x:v>
      </x:c>
      <x:c r="L21" s="586" t="n">
        <x:f>J21+K21</x:f>
        <x:v>0</x:v>
      </x:c>
      <x:c r="M21" s="1547" t="n">
        <x:f>IF(D21=0,0,I21/D21)</x:f>
        <x:v>0</x:v>
      </x:c>
    </x:row>
    <x:row r="22" ht="31" customHeight="1">
      <x:c r="A22" s="1824" t="s">
        <x:v>68</x:v>
      </x:c>
      <x:c r="B22" s="1823" t="s">
        <x:v>67</x:v>
      </x:c>
      <x:c r="C22" s="248" t="s">
        <x:v>65</x:v>
      </x:c>
      <x:c r="D22" s="1539">
        <x:v>45.6</x:v>
      </x:c>
      <x:c r="E22" s="1542">
        <x:v>28.61</x:v>
      </x:c>
      <x:c r="F22" s="1542" t="n">
        <x:f>ROUND(D22*E22,2)</x:f>
        <x:v>1304.62</x:v>
      </x:c>
      <x:c r="G22" s="1545">
        <x:v>0</x:v>
      </x:c>
      <x:c r="H22" s="579">
        <x:v>0</x:v>
      </x:c>
      <x:c r="I22" s="1545" t="n">
        <x:f>G22+H22</x:f>
        <x:v>0</x:v>
      </x:c>
      <x:c r="J22" s="586">
        <x:v>0</x:v>
      </x:c>
      <x:c r="K22" s="586" t="n">
        <x:f>ROUND(H22*E22,2)</x:f>
        <x:v>0</x:v>
      </x:c>
      <x:c r="L22" s="586" t="n">
        <x:f>J22+K22</x:f>
        <x:v>0</x:v>
      </x:c>
      <x:c r="M22" s="1548" t="n">
        <x:f>IF(D22=0,0,I22/D22)</x:f>
        <x:v>0</x:v>
      </x:c>
    </x:row>
    <x:row r="23" ht="31" customHeight="1">
      <x:c r="A23" s="1822" t="s">
        <x:v>69</x:v>
      </x:c>
      <x:c r="B23" s="1821" t="s">
        <x:v>70</x:v>
      </x:c>
      <x:c r="C23" s="1500" t="s">
        <x:v>65</x:v>
      </x:c>
      <x:c r="D23" s="1538">
        <x:v>4.5</x:v>
      </x:c>
      <x:c r="E23" s="1541">
        <x:v>554.97</x:v>
      </x:c>
      <x:c r="F23" s="1541" t="n">
        <x:f>ROUND(D23*E23,2)</x:f>
        <x:v>2497.37</x:v>
      </x:c>
      <x:c r="G23" s="1544">
        <x:v>0</x:v>
      </x:c>
      <x:c r="H23" s="579">
        <x:v>0</x:v>
      </x:c>
      <x:c r="I23" s="1544" t="n">
        <x:f>G23+H23</x:f>
        <x:v>0</x:v>
      </x:c>
      <x:c r="J23" s="586">
        <x:v>0</x:v>
      </x:c>
      <x:c r="K23" s="586" t="n">
        <x:f>ROUND(H23*E23,2)</x:f>
        <x:v>0</x:v>
      </x:c>
      <x:c r="L23" s="586" t="n">
        <x:f>J23+K23</x:f>
        <x:v>0</x:v>
      </x:c>
      <x:c r="M23" s="1547" t="n">
        <x:f>IF(D23=0,0,I23/D23)</x:f>
        <x:v>0</x:v>
      </x:c>
    </x:row>
    <x:row r="24" ht="43" customHeight="1">
      <x:c r="A24" s="1824" t="s">
        <x:v>71</x:v>
      </x:c>
      <x:c r="B24" s="1823" t="s">
        <x:v>72</x:v>
      </x:c>
      <x:c r="C24" s="248" t="s">
        <x:v>73</x:v>
      </x:c>
      <x:c r="D24" s="1539">
        <x:v>2</x:v>
      </x:c>
      <x:c r="E24" s="1542">
        <x:v>130.19</x:v>
      </x:c>
      <x:c r="F24" s="1542" t="n">
        <x:f>ROUND(D24*E24,2)</x:f>
        <x:v>260.38</x:v>
      </x:c>
      <x:c r="G24" s="1545">
        <x:v>0</x:v>
      </x:c>
      <x:c r="H24" s="579">
        <x:v>0</x:v>
      </x:c>
      <x:c r="I24" s="1545" t="n">
        <x:f>G24+H24</x:f>
        <x:v>0</x:v>
      </x:c>
      <x:c r="J24" s="586">
        <x:v>0</x:v>
      </x:c>
      <x:c r="K24" s="586" t="n">
        <x:f>ROUND(H24*E24,2)</x:f>
        <x:v>0</x:v>
      </x:c>
      <x:c r="L24" s="586" t="n">
        <x:f>J24+K24</x:f>
        <x:v>0</x:v>
      </x:c>
      <x:c r="M24" s="1548" t="n">
        <x:f>IF(D24=0,0,I24/D24)</x:f>
        <x:v>0</x:v>
      </x:c>
    </x:row>
    <x:row r="25" ht="24" customHeight="1">
      <x:c r="A25" s="1822" t="s">
        <x:v>74</x:v>
      </x:c>
      <x:c r="B25" s="1821" t="s">
        <x:v>75</x:v>
      </x:c>
      <x:c r="C25" s="1500" t="s">
        <x:v>62</x:v>
      </x:c>
      <x:c r="D25" s="1538">
        <x:v>4.81</x:v>
      </x:c>
      <x:c r="E25" s="1541">
        <x:v>9.89</x:v>
      </x:c>
      <x:c r="F25" s="1541" t="n">
        <x:f>ROUND(D25*E25,2)</x:f>
        <x:v>47.57</x:v>
      </x:c>
      <x:c r="G25" s="1544">
        <x:v>0</x:v>
      </x:c>
      <x:c r="H25" s="579">
        <x:v>0</x:v>
      </x:c>
      <x:c r="I25" s="1544" t="n">
        <x:f>G25+H25</x:f>
        <x:v>0</x:v>
      </x:c>
      <x:c r="J25" s="586">
        <x:v>0</x:v>
      </x:c>
      <x:c r="K25" s="586" t="n">
        <x:f>ROUND(H25*E25,2)</x:f>
        <x:v>0</x:v>
      </x:c>
      <x:c r="L25" s="586" t="n">
        <x:f>J25+K25</x:f>
        <x:v>0</x:v>
      </x:c>
      <x:c r="M25" s="1547" t="n">
        <x:f>IF(D25=0,0,I25/D25)</x:f>
        <x:v>0</x:v>
      </x:c>
    </x:row>
    <x:row r="26" ht="23" customHeight="1">
      <x:c r="A26" s="514" t="s">
        <x:v>76</x:v>
      </x:c>
      <x:c r="B26" s="515" t="s">
        <x:v>77</x:v>
      </x:c>
      <x:c r="C26" s="1817"/>
      <x:c r="D26" s="1818"/>
      <x:c r="E26" s="1819"/>
      <x:c r="F26" s="1819"/>
      <x:c r="G26" s="1818"/>
      <x:c r="H26" s="1818"/>
      <x:c r="I26" s="1818"/>
      <x:c r="J26" s="1819"/>
      <x:c r="K26" s="1819"/>
      <x:c r="L26" s="1819"/>
      <x:c r="M26" s="1820"/>
    </x:row>
    <x:row r="27" ht="23" customHeight="1">
      <x:c r="A27" s="538" t="s">
        <x:v>78</x:v>
      </x:c>
      <x:c r="B27" s="539" t="s">
        <x:v>79</x:v>
      </x:c>
      <x:c r="C27" s="1825"/>
      <x:c r="D27" s="1826"/>
      <x:c r="E27" s="1827"/>
      <x:c r="F27" s="1827"/>
      <x:c r="G27" s="1826"/>
      <x:c r="H27" s="1826"/>
      <x:c r="I27" s="1826"/>
      <x:c r="J27" s="1827"/>
      <x:c r="K27" s="1827"/>
      <x:c r="L27" s="1827"/>
      <x:c r="M27" s="1828"/>
    </x:row>
    <x:row r="28" ht="43" customHeight="1">
      <x:c r="A28" s="1824" t="s">
        <x:v>80</x:v>
      </x:c>
      <x:c r="B28" s="1823" t="s">
        <x:v>81</x:v>
      </x:c>
      <x:c r="C28" s="248" t="s">
        <x:v>65</x:v>
      </x:c>
      <x:c r="D28" s="1539">
        <x:v>10.1</x:v>
      </x:c>
      <x:c r="E28" s="1542">
        <x:v>81.82</x:v>
      </x:c>
      <x:c r="F28" s="1542" t="n">
        <x:f>ROUND(D28*E28,2)</x:f>
        <x:v>826.38</x:v>
      </x:c>
      <x:c r="G28" s="1545">
        <x:v>0</x:v>
      </x:c>
      <x:c r="H28" s="579">
        <x:v>0</x:v>
      </x:c>
      <x:c r="I28" s="1545" t="n">
        <x:f>G28+H28</x:f>
        <x:v>0</x:v>
      </x:c>
      <x:c r="J28" s="586">
        <x:v>0</x:v>
      </x:c>
      <x:c r="K28" s="586" t="n">
        <x:f>ROUND(H28*E28,2)</x:f>
        <x:v>0</x:v>
      </x:c>
      <x:c r="L28" s="586" t="n">
        <x:f>J28+K28</x:f>
        <x:v>0</x:v>
      </x:c>
      <x:c r="M28" s="1548" t="n">
        <x:f>IF(D28=0,0,I28/D28)</x:f>
        <x:v>0</x:v>
      </x:c>
    </x:row>
    <x:row r="29" ht="43" customHeight="1">
      <x:c r="A29" s="1822" t="s">
        <x:v>82</x:v>
      </x:c>
      <x:c r="B29" s="1821" t="s">
        <x:v>83</x:v>
      </x:c>
      <x:c r="C29" s="1500" t="s">
        <x:v>65</x:v>
      </x:c>
      <x:c r="D29" s="1538">
        <x:v>20.2</x:v>
      </x:c>
      <x:c r="E29" s="1541">
        <x:v>6.02</x:v>
      </x:c>
      <x:c r="F29" s="1541" t="n">
        <x:f>ROUND(D29*E29,2)</x:f>
        <x:v>121.6</x:v>
      </x:c>
      <x:c r="G29" s="1544">
        <x:v>0</x:v>
      </x:c>
      <x:c r="H29" s="579">
        <x:v>0</x:v>
      </x:c>
      <x:c r="I29" s="1544" t="n">
        <x:f>G29+H29</x:f>
        <x:v>0</x:v>
      </x:c>
      <x:c r="J29" s="586">
        <x:v>0</x:v>
      </x:c>
      <x:c r="K29" s="586" t="n">
        <x:f>ROUND(H29*E29,2)</x:f>
        <x:v>0</x:v>
      </x:c>
      <x:c r="L29" s="586" t="n">
        <x:f>J29+K29</x:f>
        <x:v>0</x:v>
      </x:c>
      <x:c r="M29" s="1547" t="n">
        <x:f>IF(D29=0,0,I29/D29)</x:f>
        <x:v>0</x:v>
      </x:c>
    </x:row>
    <x:row r="30" ht="43" customHeight="1">
      <x:c r="A30" s="1824" t="s">
        <x:v>84</x:v>
      </x:c>
      <x:c r="B30" s="1823" t="s">
        <x:v>85</x:v>
      </x:c>
      <x:c r="C30" s="248" t="s">
        <x:v>65</x:v>
      </x:c>
      <x:c r="D30" s="1539">
        <x:v>20.2</x:v>
      </x:c>
      <x:c r="E30" s="1542">
        <x:v>39.46</x:v>
      </x:c>
      <x:c r="F30" s="1542" t="n">
        <x:f>ROUND(D30*E30,2)</x:f>
        <x:v>797.09</x:v>
      </x:c>
      <x:c r="G30" s="1545">
        <x:v>0</x:v>
      </x:c>
      <x:c r="H30" s="579">
        <x:v>0</x:v>
      </x:c>
      <x:c r="I30" s="1545" t="n">
        <x:f>G30+H30</x:f>
        <x:v>0</x:v>
      </x:c>
      <x:c r="J30" s="586">
        <x:v>0</x:v>
      </x:c>
      <x:c r="K30" s="586" t="n">
        <x:f>ROUND(H30*E30,2)</x:f>
        <x:v>0</x:v>
      </x:c>
      <x:c r="L30" s="586" t="n">
        <x:f>J30+K30</x:f>
        <x:v>0</x:v>
      </x:c>
      <x:c r="M30" s="1548" t="n">
        <x:f>IF(D30=0,0,I30/D30)</x:f>
        <x:v>0</x:v>
      </x:c>
    </x:row>
    <x:row r="31" ht="23" customHeight="1">
      <x:c r="A31" s="538" t="s">
        <x:v>86</x:v>
      </x:c>
      <x:c r="B31" s="539" t="s">
        <x:v>87</x:v>
      </x:c>
      <x:c r="C31" s="1825"/>
      <x:c r="D31" s="1826"/>
      <x:c r="E31" s="1827"/>
      <x:c r="F31" s="1827"/>
      <x:c r="G31" s="1826"/>
      <x:c r="H31" s="1826"/>
      <x:c r="I31" s="1826"/>
      <x:c r="J31" s="1827"/>
      <x:c r="K31" s="1827"/>
      <x:c r="L31" s="1827"/>
      <x:c r="M31" s="1828"/>
    </x:row>
    <x:row r="32" ht="43" customHeight="1">
      <x:c r="A32" s="1822" t="s">
        <x:v>88</x:v>
      </x:c>
      <x:c r="B32" s="1821" t="s">
        <x:v>81</x:v>
      </x:c>
      <x:c r="C32" s="1500" t="s">
        <x:v>65</x:v>
      </x:c>
      <x:c r="D32" s="1538">
        <x:v>1.89</x:v>
      </x:c>
      <x:c r="E32" s="1541">
        <x:v>81.82</x:v>
      </x:c>
      <x:c r="F32" s="1541" t="n">
        <x:f>ROUND(D32*E32,2)</x:f>
        <x:v>154.64</x:v>
      </x:c>
      <x:c r="G32" s="1544">
        <x:v>0</x:v>
      </x:c>
      <x:c r="H32" s="579">
        <x:v>0</x:v>
      </x:c>
      <x:c r="I32" s="1544" t="n">
        <x:f>G32+H32</x:f>
        <x:v>0</x:v>
      </x:c>
      <x:c r="J32" s="586">
        <x:v>0</x:v>
      </x:c>
      <x:c r="K32" s="586" t="n">
        <x:f>ROUND(H32*E32,2)</x:f>
        <x:v>0</x:v>
      </x:c>
      <x:c r="L32" s="586" t="n">
        <x:f>J32+K32</x:f>
        <x:v>0</x:v>
      </x:c>
      <x:c r="M32" s="1547" t="n">
        <x:f>IF(D32=0,0,I32/D32)</x:f>
        <x:v>0</x:v>
      </x:c>
    </x:row>
    <x:row r="33" ht="43" customHeight="1">
      <x:c r="A33" s="1824" t="s">
        <x:v>89</x:v>
      </x:c>
      <x:c r="B33" s="1823" t="s">
        <x:v>90</x:v>
      </x:c>
      <x:c r="C33" s="248" t="s">
        <x:v>65</x:v>
      </x:c>
      <x:c r="D33" s="1539">
        <x:v>0.76</x:v>
      </x:c>
      <x:c r="E33" s="1542">
        <x:v>109.21</x:v>
      </x:c>
      <x:c r="F33" s="1542" t="n">
        <x:f>ROUND(D33*E33,2)</x:f>
        <x:v>83</x:v>
      </x:c>
      <x:c r="G33" s="1545">
        <x:v>0</x:v>
      </x:c>
      <x:c r="H33" s="579">
        <x:v>0</x:v>
      </x:c>
      <x:c r="I33" s="1545" t="n">
        <x:f>G33+H33</x:f>
        <x:v>0</x:v>
      </x:c>
      <x:c r="J33" s="586">
        <x:v>0</x:v>
      </x:c>
      <x:c r="K33" s="586" t="n">
        <x:f>ROUND(H33*E33,2)</x:f>
        <x:v>0</x:v>
      </x:c>
      <x:c r="L33" s="586" t="n">
        <x:f>J33+K33</x:f>
        <x:v>0</x:v>
      </x:c>
      <x:c r="M33" s="1548" t="n">
        <x:f>IF(D33=0,0,I33/D33)</x:f>
        <x:v>0</x:v>
      </x:c>
    </x:row>
    <x:row r="34" ht="43" customHeight="1">
      <x:c r="A34" s="1822" t="s">
        <x:v>91</x:v>
      </x:c>
      <x:c r="B34" s="1821" t="s">
        <x:v>83</x:v>
      </x:c>
      <x:c r="C34" s="1500" t="s">
        <x:v>65</x:v>
      </x:c>
      <x:c r="D34" s="1538">
        <x:v>5.3</x:v>
      </x:c>
      <x:c r="E34" s="1541">
        <x:v>6.02</x:v>
      </x:c>
      <x:c r="F34" s="1541" t="n">
        <x:f>ROUND(D34*E34,2)</x:f>
        <x:v>31.91</x:v>
      </x:c>
      <x:c r="G34" s="1544">
        <x:v>0</x:v>
      </x:c>
      <x:c r="H34" s="579">
        <x:v>0</x:v>
      </x:c>
      <x:c r="I34" s="1544" t="n">
        <x:f>G34+H34</x:f>
        <x:v>0</x:v>
      </x:c>
      <x:c r="J34" s="586">
        <x:v>0</x:v>
      </x:c>
      <x:c r="K34" s="586" t="n">
        <x:f>ROUND(H34*E34,2)</x:f>
        <x:v>0</x:v>
      </x:c>
      <x:c r="L34" s="586" t="n">
        <x:f>J34+K34</x:f>
        <x:v>0</x:v>
      </x:c>
      <x:c r="M34" s="1547" t="n">
        <x:f>IF(D34=0,0,I34/D34)</x:f>
        <x:v>0</x:v>
      </x:c>
    </x:row>
    <x:row r="35" ht="43" customHeight="1">
      <x:c r="A35" s="1824" t="s">
        <x:v>92</x:v>
      </x:c>
      <x:c r="B35" s="1823" t="s">
        <x:v>85</x:v>
      </x:c>
      <x:c r="C35" s="248" t="s">
        <x:v>65</x:v>
      </x:c>
      <x:c r="D35" s="1539">
        <x:v>5.3</x:v>
      </x:c>
      <x:c r="E35" s="1542">
        <x:v>39.46</x:v>
      </x:c>
      <x:c r="F35" s="1542" t="n">
        <x:f>ROUND(D35*E35,2)</x:f>
        <x:v>209.14</x:v>
      </x:c>
      <x:c r="G35" s="1545">
        <x:v>0</x:v>
      </x:c>
      <x:c r="H35" s="579">
        <x:v>0</x:v>
      </x:c>
      <x:c r="I35" s="1545" t="n">
        <x:f>G35+H35</x:f>
        <x:v>0</x:v>
      </x:c>
      <x:c r="J35" s="586">
        <x:v>0</x:v>
      </x:c>
      <x:c r="K35" s="586" t="n">
        <x:f>ROUND(H35*E35,2)</x:f>
        <x:v>0</x:v>
      </x:c>
      <x:c r="L35" s="586" t="n">
        <x:f>J35+K35</x:f>
        <x:v>0</x:v>
      </x:c>
      <x:c r="M35" s="1548" t="n">
        <x:f>IF(D35=0,0,I35/D35)</x:f>
        <x:v>0</x:v>
      </x:c>
    </x:row>
    <x:row r="36" ht="23" customHeight="1">
      <x:c r="A36" s="538" t="s">
        <x:v>93</x:v>
      </x:c>
      <x:c r="B36" s="539" t="s">
        <x:v>94</x:v>
      </x:c>
      <x:c r="C36" s="1825"/>
      <x:c r="D36" s="1826"/>
      <x:c r="E36" s="1827"/>
      <x:c r="F36" s="1827"/>
      <x:c r="G36" s="1826"/>
      <x:c r="H36" s="1826"/>
      <x:c r="I36" s="1826"/>
      <x:c r="J36" s="1827"/>
      <x:c r="K36" s="1827"/>
      <x:c r="L36" s="1827"/>
      <x:c r="M36" s="1828"/>
    </x:row>
    <x:row r="37" ht="43" customHeight="1">
      <x:c r="A37" s="1822" t="s">
        <x:v>95</x:v>
      </x:c>
      <x:c r="B37" s="1821" t="s">
        <x:v>90</x:v>
      </x:c>
      <x:c r="C37" s="1500" t="s">
        <x:v>65</x:v>
      </x:c>
      <x:c r="D37" s="1538">
        <x:v>0.66</x:v>
      </x:c>
      <x:c r="E37" s="1541">
        <x:v>109.21</x:v>
      </x:c>
      <x:c r="F37" s="1541" t="n">
        <x:f>ROUND(D37*E37,2)</x:f>
        <x:v>72.08</x:v>
      </x:c>
      <x:c r="G37" s="1544">
        <x:v>0</x:v>
      </x:c>
      <x:c r="H37" s="579">
        <x:v>0</x:v>
      </x:c>
      <x:c r="I37" s="1544" t="n">
        <x:f>G37+H37</x:f>
        <x:v>0</x:v>
      </x:c>
      <x:c r="J37" s="586">
        <x:v>0</x:v>
      </x:c>
      <x:c r="K37" s="586" t="n">
        <x:f>ROUND(H37*E37,2)</x:f>
        <x:v>0</x:v>
      </x:c>
      <x:c r="L37" s="586" t="n">
        <x:f>J37+K37</x:f>
        <x:v>0</x:v>
      </x:c>
      <x:c r="M37" s="1547" t="n">
        <x:f>IF(D37=0,0,I37/D37)</x:f>
        <x:v>0</x:v>
      </x:c>
    </x:row>
    <x:row r="38" ht="43" customHeight="1">
      <x:c r="A38" s="1824" t="s">
        <x:v>96</x:v>
      </x:c>
      <x:c r="B38" s="1823" t="s">
        <x:v>97</x:v>
      </x:c>
      <x:c r="C38" s="248" t="s">
        <x:v>65</x:v>
      </x:c>
      <x:c r="D38" s="1539">
        <x:v>1.32</x:v>
      </x:c>
      <x:c r="E38" s="1542">
        <x:v>6.02</x:v>
      </x:c>
      <x:c r="F38" s="1542" t="n">
        <x:f>ROUND(D38*E38,2)</x:f>
        <x:v>7.95</x:v>
      </x:c>
      <x:c r="G38" s="1545">
        <x:v>0</x:v>
      </x:c>
      <x:c r="H38" s="579">
        <x:v>0</x:v>
      </x:c>
      <x:c r="I38" s="1545" t="n">
        <x:f>G38+H38</x:f>
        <x:v>0</x:v>
      </x:c>
      <x:c r="J38" s="586">
        <x:v>0</x:v>
      </x:c>
      <x:c r="K38" s="586" t="n">
        <x:f>ROUND(H38*E38,2)</x:f>
        <x:v>0</x:v>
      </x:c>
      <x:c r="L38" s="586" t="n">
        <x:f>J38+K38</x:f>
        <x:v>0</x:v>
      </x:c>
      <x:c r="M38" s="1548" t="n">
        <x:f>IF(D38=0,0,I38/D38)</x:f>
        <x:v>0</x:v>
      </x:c>
    </x:row>
    <x:row r="39" ht="43" customHeight="1">
      <x:c r="A39" s="1822" t="s">
        <x:v>98</x:v>
      </x:c>
      <x:c r="B39" s="1821" t="s">
        <x:v>85</x:v>
      </x:c>
      <x:c r="C39" s="1500" t="s">
        <x:v>65</x:v>
      </x:c>
      <x:c r="D39" s="1538">
        <x:v>1.32</x:v>
      </x:c>
      <x:c r="E39" s="1541">
        <x:v>39.46</x:v>
      </x:c>
      <x:c r="F39" s="1541" t="n">
        <x:f>ROUND(D39*E39,2)</x:f>
        <x:v>52.09</x:v>
      </x:c>
      <x:c r="G39" s="1544">
        <x:v>0</x:v>
      </x:c>
      <x:c r="H39" s="579">
        <x:v>0</x:v>
      </x:c>
      <x:c r="I39" s="1544" t="n">
        <x:f>G39+H39</x:f>
        <x:v>0</x:v>
      </x:c>
      <x:c r="J39" s="586">
        <x:v>0</x:v>
      </x:c>
      <x:c r="K39" s="586" t="n">
        <x:f>ROUND(H39*E39,2)</x:f>
        <x:v>0</x:v>
      </x:c>
      <x:c r="L39" s="586" t="n">
        <x:f>J39+K39</x:f>
        <x:v>0</x:v>
      </x:c>
      <x:c r="M39" s="1547" t="n">
        <x:f>IF(D39=0,0,I39/D39)</x:f>
        <x:v>0</x:v>
      </x:c>
    </x:row>
    <x:row r="40" ht="23" customHeight="1">
      <x:c r="A40" s="538" t="s">
        <x:v>99</x:v>
      </x:c>
      <x:c r="B40" s="539" t="s">
        <x:v>100</x:v>
      </x:c>
      <x:c r="C40" s="1825"/>
      <x:c r="D40" s="1826"/>
      <x:c r="E40" s="1827"/>
      <x:c r="F40" s="1827"/>
      <x:c r="G40" s="1826"/>
      <x:c r="H40" s="1826"/>
      <x:c r="I40" s="1826"/>
      <x:c r="J40" s="1827"/>
      <x:c r="K40" s="1827"/>
      <x:c r="L40" s="1827"/>
      <x:c r="M40" s="1828"/>
    </x:row>
    <x:row r="41" ht="43" customHeight="1">
      <x:c r="A41" s="1824" t="s">
        <x:v>101</x:v>
      </x:c>
      <x:c r="B41" s="1823" t="s">
        <x:v>81</x:v>
      </x:c>
      <x:c r="C41" s="248" t="s">
        <x:v>65</x:v>
      </x:c>
      <x:c r="D41" s="1539">
        <x:v>6.53</x:v>
      </x:c>
      <x:c r="E41" s="1542">
        <x:v>81.82</x:v>
      </x:c>
      <x:c r="F41" s="1542" t="n">
        <x:f>ROUND(D41*E41,2)</x:f>
        <x:v>534.28</x:v>
      </x:c>
      <x:c r="G41" s="1545">
        <x:v>0</x:v>
      </x:c>
      <x:c r="H41" s="579">
        <x:v>0</x:v>
      </x:c>
      <x:c r="I41" s="1545" t="n">
        <x:f>G41+H41</x:f>
        <x:v>0</x:v>
      </x:c>
      <x:c r="J41" s="586">
        <x:v>0</x:v>
      </x:c>
      <x:c r="K41" s="586" t="n">
        <x:f>ROUND(H41*E41,2)</x:f>
        <x:v>0</x:v>
      </x:c>
      <x:c r="L41" s="586" t="n">
        <x:f>J41+K41</x:f>
        <x:v>0</x:v>
      </x:c>
      <x:c r="M41" s="1548" t="n">
        <x:f>IF(D41=0,0,I41/D41)</x:f>
        <x:v>0</x:v>
      </x:c>
    </x:row>
    <x:row r="42" ht="43" customHeight="1">
      <x:c r="A42" s="1822" t="s">
        <x:v>102</x:v>
      </x:c>
      <x:c r="B42" s="1821" t="s">
        <x:v>81</x:v>
      </x:c>
      <x:c r="C42" s="1500" t="s">
        <x:v>65</x:v>
      </x:c>
      <x:c r="D42" s="1538">
        <x:v>23.98</x:v>
      </x:c>
      <x:c r="E42" s="1541">
        <x:v>81.82</x:v>
      </x:c>
      <x:c r="F42" s="1541" t="n">
        <x:f>ROUND(D42*E42,2)</x:f>
        <x:v>1962.04</x:v>
      </x:c>
      <x:c r="G42" s="1544">
        <x:v>0</x:v>
      </x:c>
      <x:c r="H42" s="579">
        <x:v>0</x:v>
      </x:c>
      <x:c r="I42" s="1544" t="n">
        <x:f>G42+H42</x:f>
        <x:v>0</x:v>
      </x:c>
      <x:c r="J42" s="586">
        <x:v>0</x:v>
      </x:c>
      <x:c r="K42" s="586" t="n">
        <x:f>ROUND(H42*E42,2)</x:f>
        <x:v>0</x:v>
      </x:c>
      <x:c r="L42" s="586" t="n">
        <x:f>J42+K42</x:f>
        <x:v>0</x:v>
      </x:c>
      <x:c r="M42" s="1547" t="n">
        <x:f>IF(D42=0,0,I42/D42)</x:f>
        <x:v>0</x:v>
      </x:c>
    </x:row>
    <x:row r="43" ht="43" customHeight="1">
      <x:c r="A43" s="1824" t="s">
        <x:v>103</x:v>
      </x:c>
      <x:c r="B43" s="1823" t="s">
        <x:v>83</x:v>
      </x:c>
      <x:c r="C43" s="248" t="s">
        <x:v>65</x:v>
      </x:c>
      <x:c r="D43" s="1539">
        <x:v>30.51</x:v>
      </x:c>
      <x:c r="E43" s="1542">
        <x:v>6.02</x:v>
      </x:c>
      <x:c r="F43" s="1542" t="n">
        <x:f>ROUND(D43*E43,2)</x:f>
        <x:v>183.67</x:v>
      </x:c>
      <x:c r="G43" s="1545">
        <x:v>0</x:v>
      </x:c>
      <x:c r="H43" s="579">
        <x:v>0</x:v>
      </x:c>
      <x:c r="I43" s="1545" t="n">
        <x:f>G43+H43</x:f>
        <x:v>0</x:v>
      </x:c>
      <x:c r="J43" s="586">
        <x:v>0</x:v>
      </x:c>
      <x:c r="K43" s="586" t="n">
        <x:f>ROUND(H43*E43,2)</x:f>
        <x:v>0</x:v>
      </x:c>
      <x:c r="L43" s="586" t="n">
        <x:f>J43+K43</x:f>
        <x:v>0</x:v>
      </x:c>
      <x:c r="M43" s="1548" t="n">
        <x:f>IF(D43=0,0,I43/D43)</x:f>
        <x:v>0</x:v>
      </x:c>
    </x:row>
    <x:row r="44" ht="43" customHeight="1">
      <x:c r="A44" s="1822" t="s">
        <x:v>104</x:v>
      </x:c>
      <x:c r="B44" s="1821" t="s">
        <x:v>85</x:v>
      </x:c>
      <x:c r="C44" s="1500" t="s">
        <x:v>65</x:v>
      </x:c>
      <x:c r="D44" s="1538">
        <x:v>30.51</x:v>
      </x:c>
      <x:c r="E44" s="1541">
        <x:v>39.46</x:v>
      </x:c>
      <x:c r="F44" s="1541" t="n">
        <x:f>ROUND(D44*E44,2)</x:f>
        <x:v>1203.92</x:v>
      </x:c>
      <x:c r="G44" s="1544">
        <x:v>0</x:v>
      </x:c>
      <x:c r="H44" s="579">
        <x:v>0</x:v>
      </x:c>
      <x:c r="I44" s="1544" t="n">
        <x:f>G44+H44</x:f>
        <x:v>0</x:v>
      </x:c>
      <x:c r="J44" s="586">
        <x:v>0</x:v>
      </x:c>
      <x:c r="K44" s="586" t="n">
        <x:f>ROUND(H44*E44,2)</x:f>
        <x:v>0</x:v>
      </x:c>
      <x:c r="L44" s="586" t="n">
        <x:f>J44+K44</x:f>
        <x:v>0</x:v>
      </x:c>
      <x:c r="M44" s="1547" t="n">
        <x:f>IF(D44=0,0,I44/D44)</x:f>
        <x:v>0</x:v>
      </x:c>
    </x:row>
    <x:row r="45" ht="23" customHeight="1">
      <x:c r="A45" s="514" t="s">
        <x:v>105</x:v>
      </x:c>
      <x:c r="B45" s="515" t="s">
        <x:v>106</x:v>
      </x:c>
      <x:c r="C45" s="1817"/>
      <x:c r="D45" s="1818"/>
      <x:c r="E45" s="1819"/>
      <x:c r="F45" s="1819"/>
      <x:c r="G45" s="1818"/>
      <x:c r="H45" s="1818"/>
      <x:c r="I45" s="1818"/>
      <x:c r="J45" s="1819"/>
      <x:c r="K45" s="1819"/>
      <x:c r="L45" s="1819"/>
      <x:c r="M45" s="1820"/>
    </x:row>
    <x:row r="46" ht="23" customHeight="1">
      <x:c r="A46" s="538" t="s">
        <x:v>107</x:v>
      </x:c>
      <x:c r="B46" s="539" t="s">
        <x:v>108</x:v>
      </x:c>
      <x:c r="C46" s="1825"/>
      <x:c r="D46" s="1826"/>
      <x:c r="E46" s="1827"/>
      <x:c r="F46" s="1827"/>
      <x:c r="G46" s="1826"/>
      <x:c r="H46" s="1826"/>
      <x:c r="I46" s="1826"/>
      <x:c r="J46" s="1827"/>
      <x:c r="K46" s="1827"/>
      <x:c r="L46" s="1827"/>
      <x:c r="M46" s="1828"/>
    </x:row>
    <x:row r="47" ht="23" customHeight="1">
      <x:c r="A47" s="538" t="s">
        <x:v>109</x:v>
      </x:c>
      <x:c r="B47" s="539" t="s">
        <x:v>100</x:v>
      </x:c>
      <x:c r="C47" s="1825"/>
      <x:c r="D47" s="1826"/>
      <x:c r="E47" s="1827"/>
      <x:c r="F47" s="1827"/>
      <x:c r="G47" s="1826"/>
      <x:c r="H47" s="1826"/>
      <x:c r="I47" s="1826"/>
      <x:c r="J47" s="1827"/>
      <x:c r="K47" s="1827"/>
      <x:c r="L47" s="1827"/>
      <x:c r="M47" s="1828"/>
    </x:row>
    <x:row r="48" ht="43" customHeight="1">
      <x:c r="A48" s="1824" t="s">
        <x:v>110</x:v>
      </x:c>
      <x:c r="B48" s="1823" t="s">
        <x:v>111</x:v>
      </x:c>
      <x:c r="C48" s="248" t="s">
        <x:v>65</x:v>
      </x:c>
      <x:c r="D48" s="1539">
        <x:v>82.86</x:v>
      </x:c>
      <x:c r="E48" s="1542">
        <x:v>77.78</x:v>
      </x:c>
      <x:c r="F48" s="1542" t="n">
        <x:f>ROUND(D48*E48,2)</x:f>
        <x:v>6444.85</x:v>
      </x:c>
      <x:c r="G48" s="1545">
        <x:v>0</x:v>
      </x:c>
      <x:c r="H48" s="579">
        <x:v>0</x:v>
      </x:c>
      <x:c r="I48" s="1545" t="n">
        <x:f>G48+H48</x:f>
        <x:v>0</x:v>
      </x:c>
      <x:c r="J48" s="586">
        <x:v>0</x:v>
      </x:c>
      <x:c r="K48" s="586" t="n">
        <x:f>ROUND(H48*E48,2)</x:f>
        <x:v>0</x:v>
      </x:c>
      <x:c r="L48" s="586" t="n">
        <x:f>J48+K48</x:f>
        <x:v>0</x:v>
      </x:c>
      <x:c r="M48" s="1548" t="n">
        <x:f>IF(D48=0,0,I48/D48)</x:f>
        <x:v>0</x:v>
      </x:c>
    </x:row>
    <x:row r="49" ht="23" customHeight="1">
      <x:c r="A49" s="514" t="s">
        <x:v>112</x:v>
      </x:c>
      <x:c r="B49" s="515" t="s">
        <x:v>113</x:v>
      </x:c>
      <x:c r="C49" s="1817"/>
      <x:c r="D49" s="1818"/>
      <x:c r="E49" s="1819"/>
      <x:c r="F49" s="1819"/>
      <x:c r="G49" s="1818"/>
      <x:c r="H49" s="1818"/>
      <x:c r="I49" s="1818"/>
      <x:c r="J49" s="1819"/>
      <x:c r="K49" s="1819"/>
      <x:c r="L49" s="1819"/>
      <x:c r="M49" s="1820"/>
    </x:row>
    <x:row r="50" ht="23" customHeight="1">
      <x:c r="A50" s="538" t="s">
        <x:v>114</x:v>
      </x:c>
      <x:c r="B50" s="539" t="s">
        <x:v>115</x:v>
      </x:c>
      <x:c r="C50" s="1825"/>
      <x:c r="D50" s="1826"/>
      <x:c r="E50" s="1827"/>
      <x:c r="F50" s="1827"/>
      <x:c r="G50" s="1826"/>
      <x:c r="H50" s="1826"/>
      <x:c r="I50" s="1826"/>
      <x:c r="J50" s="1827"/>
      <x:c r="K50" s="1827"/>
      <x:c r="L50" s="1827"/>
      <x:c r="M50" s="1828"/>
    </x:row>
    <x:row r="51" ht="31" customHeight="1">
      <x:c r="A51" s="1822" t="s">
        <x:v>116</x:v>
      </x:c>
      <x:c r="B51" s="1821" t="s">
        <x:v>117</x:v>
      </x:c>
      <x:c r="C51" s="1500" t="s">
        <x:v>65</x:v>
      </x:c>
      <x:c r="D51" s="1538">
        <x:v>18.21</x:v>
      </x:c>
      <x:c r="E51" s="1541">
        <x:v>125.72</x:v>
      </x:c>
      <x:c r="F51" s="1541" t="n">
        <x:f>ROUND(D51*E51,2)</x:f>
        <x:v>2289.36</x:v>
      </x:c>
      <x:c r="G51" s="1544">
        <x:v>0</x:v>
      </x:c>
      <x:c r="H51" s="579">
        <x:v>0</x:v>
      </x:c>
      <x:c r="I51" s="1544" t="n">
        <x:f>G51+H51</x:f>
        <x:v>0</x:v>
      </x:c>
      <x:c r="J51" s="586">
        <x:v>0</x:v>
      </x:c>
      <x:c r="K51" s="586" t="n">
        <x:f>ROUND(H51*E51,2)</x:f>
        <x:v>0</x:v>
      </x:c>
      <x:c r="L51" s="586" t="n">
        <x:f>J51+K51</x:f>
        <x:v>0</x:v>
      </x:c>
      <x:c r="M51" s="1547" t="n">
        <x:f>IF(D51=0,0,I51/D51)</x:f>
        <x:v>0</x:v>
      </x:c>
    </x:row>
    <x:row r="52" ht="23" customHeight="1">
      <x:c r="A52" s="538" t="s">
        <x:v>118</x:v>
      </x:c>
      <x:c r="B52" s="539" t="s">
        <x:v>119</x:v>
      </x:c>
      <x:c r="C52" s="1825"/>
      <x:c r="D52" s="1826"/>
      <x:c r="E52" s="1827"/>
      <x:c r="F52" s="1827"/>
      <x:c r="G52" s="1826"/>
      <x:c r="H52" s="1826"/>
      <x:c r="I52" s="1826"/>
      <x:c r="J52" s="1827"/>
      <x:c r="K52" s="1827"/>
      <x:c r="L52" s="1827"/>
      <x:c r="M52" s="1828"/>
    </x:row>
    <x:row r="53" ht="31" customHeight="1">
      <x:c r="A53" s="1824" t="s">
        <x:v>120</x:v>
      </x:c>
      <x:c r="B53" s="1823" t="s">
        <x:v>117</x:v>
      </x:c>
      <x:c r="C53" s="248" t="s">
        <x:v>65</x:v>
      </x:c>
      <x:c r="D53" s="1539">
        <x:v>25</x:v>
      </x:c>
      <x:c r="E53" s="1542">
        <x:v>125.72</x:v>
      </x:c>
      <x:c r="F53" s="1542" t="n">
        <x:f>ROUND(D53*E53,2)</x:f>
        <x:v>3143</x:v>
      </x:c>
      <x:c r="G53" s="1545">
        <x:v>0</x:v>
      </x:c>
      <x:c r="H53" s="579">
        <x:v>0</x:v>
      </x:c>
      <x:c r="I53" s="1545" t="n">
        <x:f>G53+H53</x:f>
        <x:v>0</x:v>
      </x:c>
      <x:c r="J53" s="586">
        <x:v>0</x:v>
      </x:c>
      <x:c r="K53" s="586" t="n">
        <x:f>ROUND(H53*E53,2)</x:f>
        <x:v>0</x:v>
      </x:c>
      <x:c r="L53" s="586" t="n">
        <x:f>J53+K53</x:f>
        <x:v>0</x:v>
      </x:c>
      <x:c r="M53" s="1548" t="n">
        <x:f>IF(D53=0,0,I53/D53)</x:f>
        <x:v>0</x:v>
      </x:c>
    </x:row>
    <x:row r="54" ht="23" customHeight="1">
      <x:c r="A54" s="538" t="s">
        <x:v>121</x:v>
      </x:c>
      <x:c r="B54" s="539" t="s">
        <x:v>122</x:v>
      </x:c>
      <x:c r="C54" s="1825"/>
      <x:c r="D54" s="1826"/>
      <x:c r="E54" s="1827"/>
      <x:c r="F54" s="1827"/>
      <x:c r="G54" s="1826"/>
      <x:c r="H54" s="1826"/>
      <x:c r="I54" s="1826"/>
      <x:c r="J54" s="1827"/>
      <x:c r="K54" s="1827"/>
      <x:c r="L54" s="1827"/>
      <x:c r="M54" s="1828"/>
    </x:row>
    <x:row r="55" ht="43" customHeight="1">
      <x:c r="A55" s="1822" t="s">
        <x:v>123</x:v>
      </x:c>
      <x:c r="B55" s="1821" t="s">
        <x:v>124</x:v>
      </x:c>
      <x:c r="C55" s="1500" t="s">
        <x:v>65</x:v>
      </x:c>
      <x:c r="D55" s="1538">
        <x:v>25.6</x:v>
      </x:c>
      <x:c r="E55" s="1541">
        <x:v>68.66</x:v>
      </x:c>
      <x:c r="F55" s="1541" t="n">
        <x:f>ROUND(D55*E55,2)</x:f>
        <x:v>1757.7</x:v>
      </x:c>
      <x:c r="G55" s="1544">
        <x:v>0</x:v>
      </x:c>
      <x:c r="H55" s="579">
        <x:v>0</x:v>
      </x:c>
      <x:c r="I55" s="1544" t="n">
        <x:f>G55+H55</x:f>
        <x:v>0</x:v>
      </x:c>
      <x:c r="J55" s="586">
        <x:v>0</x:v>
      </x:c>
      <x:c r="K55" s="586" t="n">
        <x:f>ROUND(H55*E55,2)</x:f>
        <x:v>0</x:v>
      </x:c>
      <x:c r="L55" s="586" t="n">
        <x:f>J55+K55</x:f>
        <x:v>0</x:v>
      </x:c>
      <x:c r="M55" s="1547" t="n">
        <x:f>IF(D55=0,0,I55/D55)</x:f>
        <x:v>0</x:v>
      </x:c>
    </x:row>
    <x:row r="56" ht="43" customHeight="1">
      <x:c r="A56" s="1824" t="s">
        <x:v>125</x:v>
      </x:c>
      <x:c r="B56" s="1823" t="s">
        <x:v>126</x:v>
      </x:c>
      <x:c r="C56" s="248" t="s">
        <x:v>65</x:v>
      </x:c>
      <x:c r="D56" s="1539">
        <x:v>25.6</x:v>
      </x:c>
      <x:c r="E56" s="1542">
        <x:v>62.26</x:v>
      </x:c>
      <x:c r="F56" s="1542" t="n">
        <x:f>ROUND(D56*E56,2)</x:f>
        <x:v>1593.86</x:v>
      </x:c>
      <x:c r="G56" s="1545">
        <x:v>0</x:v>
      </x:c>
      <x:c r="H56" s="579">
        <x:v>0</x:v>
      </x:c>
      <x:c r="I56" s="1545" t="n">
        <x:f>G56+H56</x:f>
        <x:v>0</x:v>
      </x:c>
      <x:c r="J56" s="586">
        <x:v>0</x:v>
      </x:c>
      <x:c r="K56" s="586" t="n">
        <x:f>ROUND(H56*E56,2)</x:f>
        <x:v>0</x:v>
      </x:c>
      <x:c r="L56" s="586" t="n">
        <x:f>J56+K56</x:f>
        <x:v>0</x:v>
      </x:c>
      <x:c r="M56" s="1548" t="n">
        <x:f>IF(D56=0,0,I56/D56)</x:f>
        <x:v>0</x:v>
      </x:c>
    </x:row>
    <x:row r="57" ht="23" customHeight="1">
      <x:c r="A57" s="514" t="s">
        <x:v>127</x:v>
      </x:c>
      <x:c r="B57" s="515" t="s">
        <x:v>128</x:v>
      </x:c>
      <x:c r="C57" s="1817"/>
      <x:c r="D57" s="1818"/>
      <x:c r="E57" s="1819"/>
      <x:c r="F57" s="1819"/>
      <x:c r="G57" s="1818"/>
      <x:c r="H57" s="1818"/>
      <x:c r="I57" s="1818"/>
      <x:c r="J57" s="1819"/>
      <x:c r="K57" s="1819"/>
      <x:c r="L57" s="1819"/>
      <x:c r="M57" s="1820"/>
    </x:row>
    <x:row r="58" ht="23" customHeight="1">
      <x:c r="A58" s="538" t="s">
        <x:v>129</x:v>
      </x:c>
      <x:c r="B58" s="539" t="s">
        <x:v>130</x:v>
      </x:c>
      <x:c r="C58" s="1825"/>
      <x:c r="D58" s="1826"/>
      <x:c r="E58" s="1827"/>
      <x:c r="F58" s="1827"/>
      <x:c r="G58" s="1826"/>
      <x:c r="H58" s="1826"/>
      <x:c r="I58" s="1826"/>
      <x:c r="J58" s="1827"/>
      <x:c r="K58" s="1827"/>
      <x:c r="L58" s="1827"/>
      <x:c r="M58" s="1828"/>
    </x:row>
    <x:row r="59" ht="23" customHeight="1">
      <x:c r="A59" s="538" t="s">
        <x:v>131</x:v>
      </x:c>
      <x:c r="B59" s="539" t="s">
        <x:v>132</x:v>
      </x:c>
      <x:c r="C59" s="1825"/>
      <x:c r="D59" s="1826"/>
      <x:c r="E59" s="1827"/>
      <x:c r="F59" s="1827"/>
      <x:c r="G59" s="1826"/>
      <x:c r="H59" s="1826"/>
      <x:c r="I59" s="1826"/>
      <x:c r="J59" s="1827"/>
      <x:c r="K59" s="1827"/>
      <x:c r="L59" s="1827"/>
      <x:c r="M59" s="1828"/>
    </x:row>
    <x:row r="60" ht="24" customHeight="1">
      <x:c r="A60" s="1822" t="s">
        <x:v>133</x:v>
      </x:c>
      <x:c r="B60" s="1821" t="s">
        <x:v>134</x:v>
      </x:c>
      <x:c r="C60" s="1500" t="s">
        <x:v>65</x:v>
      </x:c>
      <x:c r="D60" s="1538">
        <x:v>50.17</x:v>
      </x:c>
      <x:c r="E60" s="1541">
        <x:v>3.69</x:v>
      </x:c>
      <x:c r="F60" s="1541" t="n">
        <x:f>ROUND(D60*E60,2)</x:f>
        <x:v>185.13</x:v>
      </x:c>
      <x:c r="G60" s="1544">
        <x:v>0</x:v>
      </x:c>
      <x:c r="H60" s="579">
        <x:v>0</x:v>
      </x:c>
      <x:c r="I60" s="1544" t="n">
        <x:f>G60+H60</x:f>
        <x:v>0</x:v>
      </x:c>
      <x:c r="J60" s="586">
        <x:v>0</x:v>
      </x:c>
      <x:c r="K60" s="586" t="n">
        <x:f>ROUND(H60*E60,2)</x:f>
        <x:v>0</x:v>
      </x:c>
      <x:c r="L60" s="586" t="n">
        <x:f>J60+K60</x:f>
        <x:v>0</x:v>
      </x:c>
      <x:c r="M60" s="1547" t="n">
        <x:f>IF(D60=0,0,I60/D60)</x:f>
        <x:v>0</x:v>
      </x:c>
    </x:row>
    <x:row r="61" ht="31" customHeight="1">
      <x:c r="A61" s="1824" t="s">
        <x:v>135</x:v>
      </x:c>
      <x:c r="B61" s="1823" t="s">
        <x:v>136</x:v>
      </x:c>
      <x:c r="C61" s="248" t="s">
        <x:v>65</x:v>
      </x:c>
      <x:c r="D61" s="1539">
        <x:v>50.17</x:v>
      </x:c>
      <x:c r="E61" s="1542">
        <x:v>89.92</x:v>
      </x:c>
      <x:c r="F61" s="1542" t="n">
        <x:f>ROUND(D61*E61,2)</x:f>
        <x:v>4511.29</x:v>
      </x:c>
      <x:c r="G61" s="1545">
        <x:v>0</x:v>
      </x:c>
      <x:c r="H61" s="579">
        <x:v>0</x:v>
      </x:c>
      <x:c r="I61" s="1545" t="n">
        <x:f>G61+H61</x:f>
        <x:v>0</x:v>
      </x:c>
      <x:c r="J61" s="586">
        <x:v>0</x:v>
      </x:c>
      <x:c r="K61" s="586" t="n">
        <x:f>ROUND(H61*E61,2)</x:f>
        <x:v>0</x:v>
      </x:c>
      <x:c r="L61" s="586" t="n">
        <x:f>J61+K61</x:f>
        <x:v>0</x:v>
      </x:c>
      <x:c r="M61" s="1548" t="n">
        <x:f>IF(D61=0,0,I61/D61)</x:f>
        <x:v>0</x:v>
      </x:c>
    </x:row>
    <x:row r="62" ht="23" customHeight="1">
      <x:c r="A62" s="538" t="s">
        <x:v>137</x:v>
      </x:c>
      <x:c r="B62" s="539" t="s">
        <x:v>138</x:v>
      </x:c>
      <x:c r="C62" s="1825"/>
      <x:c r="D62" s="1826"/>
      <x:c r="E62" s="1827"/>
      <x:c r="F62" s="1827"/>
      <x:c r="G62" s="1826"/>
      <x:c r="H62" s="1826"/>
      <x:c r="I62" s="1826"/>
      <x:c r="J62" s="1827"/>
      <x:c r="K62" s="1827"/>
      <x:c r="L62" s="1827"/>
      <x:c r="M62" s="1828"/>
    </x:row>
    <x:row r="63" ht="31" customHeight="1">
      <x:c r="A63" s="1822" t="s">
        <x:v>139</x:v>
      </x:c>
      <x:c r="B63" s="1821" t="s">
        <x:v>140</x:v>
      </x:c>
      <x:c r="C63" s="1500" t="s">
        <x:v>65</x:v>
      </x:c>
      <x:c r="D63" s="1538">
        <x:v>49.25</x:v>
      </x:c>
      <x:c r="E63" s="1541">
        <x:v>3.69</x:v>
      </x:c>
      <x:c r="F63" s="1541" t="n">
        <x:f>ROUND(D63*E63,2)</x:f>
        <x:v>181.73</x:v>
      </x:c>
      <x:c r="G63" s="1544">
        <x:v>0</x:v>
      </x:c>
      <x:c r="H63" s="579">
        <x:v>0</x:v>
      </x:c>
      <x:c r="I63" s="1544" t="n">
        <x:f>G63+H63</x:f>
        <x:v>0</x:v>
      </x:c>
      <x:c r="J63" s="586">
        <x:v>0</x:v>
      </x:c>
      <x:c r="K63" s="586" t="n">
        <x:f>ROUND(H63*E63,2)</x:f>
        <x:v>0</x:v>
      </x:c>
      <x:c r="L63" s="586" t="n">
        <x:f>J63+K63</x:f>
        <x:v>0</x:v>
      </x:c>
      <x:c r="M63" s="1547" t="n">
        <x:f>IF(D63=0,0,I63/D63)</x:f>
        <x:v>0</x:v>
      </x:c>
    </x:row>
    <x:row r="64" ht="31" customHeight="1">
      <x:c r="A64" s="1824" t="s">
        <x:v>141</x:v>
      </x:c>
      <x:c r="B64" s="1823" t="s">
        <x:v>136</x:v>
      </x:c>
      <x:c r="C64" s="248" t="s">
        <x:v>65</x:v>
      </x:c>
      <x:c r="D64" s="1539">
        <x:v>49.25</x:v>
      </x:c>
      <x:c r="E64" s="1542">
        <x:v>89.92</x:v>
      </x:c>
      <x:c r="F64" s="1542" t="n">
        <x:f>ROUND(D64*E64,2)</x:f>
        <x:v>4428.56</x:v>
      </x:c>
      <x:c r="G64" s="1545">
        <x:v>0</x:v>
      </x:c>
      <x:c r="H64" s="579">
        <x:v>0</x:v>
      </x:c>
      <x:c r="I64" s="1545" t="n">
        <x:f>G64+H64</x:f>
        <x:v>0</x:v>
      </x:c>
      <x:c r="J64" s="586">
        <x:v>0</x:v>
      </x:c>
      <x:c r="K64" s="586" t="n">
        <x:f>ROUND(H64*E64,2)</x:f>
        <x:v>0</x:v>
      </x:c>
      <x:c r="L64" s="586" t="n">
        <x:f>J64+K64</x:f>
        <x:v>0</x:v>
      </x:c>
      <x:c r="M64" s="1548" t="n">
        <x:f>IF(D64=0,0,I64/D64)</x:f>
        <x:v>0</x:v>
      </x:c>
    </x:row>
    <x:row r="65" ht="23" customHeight="1">
      <x:c r="A65" s="538" t="s">
        <x:v>142</x:v>
      </x:c>
      <x:c r="B65" s="539" t="s">
        <x:v>143</x:v>
      </x:c>
      <x:c r="C65" s="1825"/>
      <x:c r="D65" s="1826"/>
      <x:c r="E65" s="1827"/>
      <x:c r="F65" s="1827"/>
      <x:c r="G65" s="1826"/>
      <x:c r="H65" s="1826"/>
      <x:c r="I65" s="1826"/>
      <x:c r="J65" s="1827"/>
      <x:c r="K65" s="1827"/>
      <x:c r="L65" s="1827"/>
      <x:c r="M65" s="1828"/>
    </x:row>
    <x:row r="66" ht="24" customHeight="1">
      <x:c r="A66" s="1822" t="s">
        <x:v>144</x:v>
      </x:c>
      <x:c r="B66" s="1821" t="s">
        <x:v>134</x:v>
      </x:c>
      <x:c r="C66" s="1500" t="s">
        <x:v>65</x:v>
      </x:c>
      <x:c r="D66" s="1538">
        <x:v>21.38</x:v>
      </x:c>
      <x:c r="E66" s="1541">
        <x:v>3.69</x:v>
      </x:c>
      <x:c r="F66" s="1541" t="n">
        <x:f>ROUND(D66*E66,2)</x:f>
        <x:v>78.89</x:v>
      </x:c>
      <x:c r="G66" s="1544">
        <x:v>0</x:v>
      </x:c>
      <x:c r="H66" s="579">
        <x:v>0</x:v>
      </x:c>
      <x:c r="I66" s="1544" t="n">
        <x:f>G66+H66</x:f>
        <x:v>0</x:v>
      </x:c>
      <x:c r="J66" s="586">
        <x:v>0</x:v>
      </x:c>
      <x:c r="K66" s="586" t="n">
        <x:f>ROUND(H66*E66,2)</x:f>
        <x:v>0</x:v>
      </x:c>
      <x:c r="L66" s="586" t="n">
        <x:f>J66+K66</x:f>
        <x:v>0</x:v>
      </x:c>
      <x:c r="M66" s="1547" t="n">
        <x:f>IF(D66=0,0,I66/D66)</x:f>
        <x:v>0</x:v>
      </x:c>
    </x:row>
    <x:row r="67" ht="31" customHeight="1">
      <x:c r="A67" s="1824" t="s">
        <x:v>145</x:v>
      </x:c>
      <x:c r="B67" s="1823" t="s">
        <x:v>136</x:v>
      </x:c>
      <x:c r="C67" s="248" t="s">
        <x:v>65</x:v>
      </x:c>
      <x:c r="D67" s="1539">
        <x:v>21.38</x:v>
      </x:c>
      <x:c r="E67" s="1542">
        <x:v>89.92</x:v>
      </x:c>
      <x:c r="F67" s="1542" t="n">
        <x:f>ROUND(D67*E67,2)</x:f>
        <x:v>1922.49</x:v>
      </x:c>
      <x:c r="G67" s="1545">
        <x:v>0</x:v>
      </x:c>
      <x:c r="H67" s="579">
        <x:v>0</x:v>
      </x:c>
      <x:c r="I67" s="1545" t="n">
        <x:f>G67+H67</x:f>
        <x:v>0</x:v>
      </x:c>
      <x:c r="J67" s="586">
        <x:v>0</x:v>
      </x:c>
      <x:c r="K67" s="586" t="n">
        <x:f>ROUND(H67*E67,2)</x:f>
        <x:v>0</x:v>
      </x:c>
      <x:c r="L67" s="586" t="n">
        <x:f>J67+K67</x:f>
        <x:v>0</x:v>
      </x:c>
      <x:c r="M67" s="1548" t="n">
        <x:f>IF(D67=0,0,I67/D67)</x:f>
        <x:v>0</x:v>
      </x:c>
    </x:row>
    <x:row r="68" ht="23" customHeight="1">
      <x:c r="A68" s="514" t="s">
        <x:v>146</x:v>
      </x:c>
      <x:c r="B68" s="515" t="s">
        <x:v>147</x:v>
      </x:c>
      <x:c r="C68" s="1817"/>
      <x:c r="D68" s="1818"/>
      <x:c r="E68" s="1819"/>
      <x:c r="F68" s="1819"/>
      <x:c r="G68" s="1818"/>
      <x:c r="H68" s="1818"/>
      <x:c r="I68" s="1818"/>
      <x:c r="J68" s="1819"/>
      <x:c r="K68" s="1819"/>
      <x:c r="L68" s="1819"/>
      <x:c r="M68" s="1820"/>
    </x:row>
    <x:row r="69" ht="55" customHeight="1">
      <x:c r="A69" s="1822" t="s">
        <x:v>148</x:v>
      </x:c>
      <x:c r="B69" s="1821" t="s">
        <x:v>149</x:v>
      </x:c>
      <x:c r="C69" s="1500" t="s">
        <x:v>65</x:v>
      </x:c>
      <x:c r="D69" s="1538">
        <x:v>89.07</x:v>
      </x:c>
      <x:c r="E69" s="1541">
        <x:v>206.19</x:v>
      </x:c>
      <x:c r="F69" s="1541" t="n">
        <x:f>ROUND(D69*E69,2)</x:f>
        <x:v>18365.34</x:v>
      </x:c>
      <x:c r="G69" s="1544">
        <x:v>0</x:v>
      </x:c>
      <x:c r="H69" s="579">
        <x:v>0</x:v>
      </x:c>
      <x:c r="I69" s="1544" t="n">
        <x:f>G69+H69</x:f>
        <x:v>0</x:v>
      </x:c>
      <x:c r="J69" s="586">
        <x:v>0</x:v>
      </x:c>
      <x:c r="K69" s="586" t="n">
        <x:f>ROUND(H69*E69,2)</x:f>
        <x:v>0</x:v>
      </x:c>
      <x:c r="L69" s="586" t="n">
        <x:f>J69+K69</x:f>
        <x:v>0</x:v>
      </x:c>
      <x:c r="M69" s="1547" t="n">
        <x:f>IF(D69=0,0,I69/D69)</x:f>
        <x:v>0</x:v>
      </x:c>
    </x:row>
    <x:row r="70" ht="24" customHeight="1">
      <x:c r="A70" s="1824" t="s">
        <x:v>150</x:v>
      </x:c>
      <x:c r="B70" s="1823" t="s">
        <x:v>151</x:v>
      </x:c>
      <x:c r="C70" s="248" t="s">
        <x:v>152</x:v>
      </x:c>
      <x:c r="D70" s="1539">
        <x:v>3.8</x:v>
      </x:c>
      <x:c r="E70" s="1542">
        <x:v>13.28</x:v>
      </x:c>
      <x:c r="F70" s="1542" t="n">
        <x:f>ROUND(D70*E70,2)</x:f>
        <x:v>50.46</x:v>
      </x:c>
      <x:c r="G70" s="1545">
        <x:v>0</x:v>
      </x:c>
      <x:c r="H70" s="579">
        <x:v>0</x:v>
      </x:c>
      <x:c r="I70" s="1545" t="n">
        <x:f>G70+H70</x:f>
        <x:v>0</x:v>
      </x:c>
      <x:c r="J70" s="586">
        <x:v>0</x:v>
      </x:c>
      <x:c r="K70" s="586" t="n">
        <x:f>ROUND(H70*E70,2)</x:f>
        <x:v>0</x:v>
      </x:c>
      <x:c r="L70" s="586" t="n">
        <x:f>J70+K70</x:f>
        <x:v>0</x:v>
      </x:c>
      <x:c r="M70" s="1548" t="n">
        <x:f>IF(D70=0,0,I70/D70)</x:f>
        <x:v>0</x:v>
      </x:c>
    </x:row>
    <x:row r="71" ht="23" customHeight="1">
      <x:c r="A71" s="514" t="s">
        <x:v>153</x:v>
      </x:c>
      <x:c r="B71" s="515" t="s">
        <x:v>154</x:v>
      </x:c>
      <x:c r="C71" s="1817"/>
      <x:c r="D71" s="1818"/>
      <x:c r="E71" s="1819"/>
      <x:c r="F71" s="1819"/>
      <x:c r="G71" s="1818"/>
      <x:c r="H71" s="1818"/>
      <x:c r="I71" s="1818"/>
      <x:c r="J71" s="1819"/>
      <x:c r="K71" s="1819"/>
      <x:c r="L71" s="1819"/>
      <x:c r="M71" s="1820"/>
    </x:row>
    <x:row r="72" ht="23" customHeight="1">
      <x:c r="A72" s="538" t="s">
        <x:v>155</x:v>
      </x:c>
      <x:c r="B72" s="539" t="s">
        <x:v>156</x:v>
      </x:c>
      <x:c r="C72" s="1825"/>
      <x:c r="D72" s="1826"/>
      <x:c r="E72" s="1827"/>
      <x:c r="F72" s="1827"/>
      <x:c r="G72" s="1826"/>
      <x:c r="H72" s="1826"/>
      <x:c r="I72" s="1826"/>
      <x:c r="J72" s="1827"/>
      <x:c r="K72" s="1827"/>
      <x:c r="L72" s="1827"/>
      <x:c r="M72" s="1828"/>
    </x:row>
    <x:row r="73" ht="55" customHeight="1">
      <x:c r="A73" s="1822" t="s">
        <x:v>157</x:v>
      </x:c>
      <x:c r="B73" s="1821" t="s">
        <x:v>158</x:v>
      </x:c>
      <x:c r="C73" s="1500" t="s">
        <x:v>73</x:v>
      </x:c>
      <x:c r="D73" s="1538">
        <x:v>11</x:v>
      </x:c>
      <x:c r="E73" s="1541">
        <x:v>1255.83</x:v>
      </x:c>
      <x:c r="F73" s="1541" t="n">
        <x:f>ROUND(D73*E73,2)</x:f>
        <x:v>13814.13</x:v>
      </x:c>
      <x:c r="G73" s="1544">
        <x:v>0</x:v>
      </x:c>
      <x:c r="H73" s="579">
        <x:v>0</x:v>
      </x:c>
      <x:c r="I73" s="1544" t="n">
        <x:f>G73+H73</x:f>
        <x:v>0</x:v>
      </x:c>
      <x:c r="J73" s="586">
        <x:v>0</x:v>
      </x:c>
      <x:c r="K73" s="586" t="n">
        <x:f>ROUND(H73*E73,2)</x:f>
        <x:v>0</x:v>
      </x:c>
      <x:c r="L73" s="586" t="n">
        <x:f>J73+K73</x:f>
        <x:v>0</x:v>
      </x:c>
      <x:c r="M73" s="1547" t="n">
        <x:f>IF(D73=0,0,I73/D73)</x:f>
        <x:v>0</x:v>
      </x:c>
    </x:row>
    <x:row r="74" ht="31" customHeight="1">
      <x:c r="A74" s="1824" t="s">
        <x:v>159</x:v>
      </x:c>
      <x:c r="B74" s="1823" t="s">
        <x:v>160</x:v>
      </x:c>
      <x:c r="C74" s="248" t="s">
        <x:v>73</x:v>
      </x:c>
      <x:c r="D74" s="1539">
        <x:v>1</x:v>
      </x:c>
      <x:c r="E74" s="1542">
        <x:v>2317.87</x:v>
      </x:c>
      <x:c r="F74" s="1542" t="n">
        <x:f>ROUND(D74*E74,2)</x:f>
        <x:v>2317.87</x:v>
      </x:c>
      <x:c r="G74" s="1545">
        <x:v>0</x:v>
      </x:c>
      <x:c r="H74" s="579">
        <x:v>0</x:v>
      </x:c>
      <x:c r="I74" s="1545" t="n">
        <x:f>G74+H74</x:f>
        <x:v>0</x:v>
      </x:c>
      <x:c r="J74" s="586">
        <x:v>0</x:v>
      </x:c>
      <x:c r="K74" s="586" t="n">
        <x:f>ROUND(H74*E74,2)</x:f>
        <x:v>0</x:v>
      </x:c>
      <x:c r="L74" s="586" t="n">
        <x:f>J74+K74</x:f>
        <x:v>0</x:v>
      </x:c>
      <x:c r="M74" s="1548" t="n">
        <x:f>IF(D74=0,0,I74/D74)</x:f>
        <x:v>0</x:v>
      </x:c>
    </x:row>
    <x:row r="75" ht="31" customHeight="1">
      <x:c r="A75" s="1822" t="s">
        <x:v>161</x:v>
      </x:c>
      <x:c r="B75" s="1821" t="s">
        <x:v>162</x:v>
      </x:c>
      <x:c r="C75" s="1500" t="s">
        <x:v>65</x:v>
      </x:c>
      <x:c r="D75" s="1538">
        <x:v>40.32</x:v>
      </x:c>
      <x:c r="E75" s="1541">
        <x:v>19.67</x:v>
      </x:c>
      <x:c r="F75" s="1541" t="n">
        <x:f>ROUND(D75*E75,2)</x:f>
        <x:v>793.09</x:v>
      </x:c>
      <x:c r="G75" s="1544">
        <x:v>0</x:v>
      </x:c>
      <x:c r="H75" s="579">
        <x:v>0</x:v>
      </x:c>
      <x:c r="I75" s="1544" t="n">
        <x:f>G75+H75</x:f>
        <x:v>0</x:v>
      </x:c>
      <x:c r="J75" s="586">
        <x:v>0</x:v>
      </x:c>
      <x:c r="K75" s="586" t="n">
        <x:f>ROUND(H75*E75,2)</x:f>
        <x:v>0</x:v>
      </x:c>
      <x:c r="L75" s="586" t="n">
        <x:f>J75+K75</x:f>
        <x:v>0</x:v>
      </x:c>
      <x:c r="M75" s="1547" t="n">
        <x:f>IF(D75=0,0,I75/D75)</x:f>
        <x:v>0</x:v>
      </x:c>
    </x:row>
    <x:row r="76" ht="31" customHeight="1">
      <x:c r="A76" s="1824" t="s">
        <x:v>163</x:v>
      </x:c>
      <x:c r="B76" s="1823" t="s">
        <x:v>164</x:v>
      </x:c>
      <x:c r="C76" s="248" t="s">
        <x:v>65</x:v>
      </x:c>
      <x:c r="D76" s="1539">
        <x:v>1.8</x:v>
      </x:c>
      <x:c r="E76" s="1542">
        <x:v>926.21</x:v>
      </x:c>
      <x:c r="F76" s="1542" t="n">
        <x:f>ROUND(D76*E76,2)</x:f>
        <x:v>1667.18</x:v>
      </x:c>
      <x:c r="G76" s="1545">
        <x:v>0</x:v>
      </x:c>
      <x:c r="H76" s="579">
        <x:v>0</x:v>
      </x:c>
      <x:c r="I76" s="1545" t="n">
        <x:f>G76+H76</x:f>
        <x:v>0</x:v>
      </x:c>
      <x:c r="J76" s="586">
        <x:v>0</x:v>
      </x:c>
      <x:c r="K76" s="586" t="n">
        <x:f>ROUND(H76*E76,2)</x:f>
        <x:v>0</x:v>
      </x:c>
      <x:c r="L76" s="586" t="n">
        <x:f>J76+K76</x:f>
        <x:v>0</x:v>
      </x:c>
      <x:c r="M76" s="1548" t="n">
        <x:f>IF(D76=0,0,I76/D76)</x:f>
        <x:v>0</x:v>
      </x:c>
    </x:row>
    <x:row r="77" ht="55" customHeight="1">
      <x:c r="A77" s="1822" t="s">
        <x:v>165</x:v>
      </x:c>
      <x:c r="B77" s="1821" t="s">
        <x:v>166</x:v>
      </x:c>
      <x:c r="C77" s="1500" t="s">
        <x:v>65</x:v>
      </x:c>
      <x:c r="D77" s="1538">
        <x:v>3.6</x:v>
      </x:c>
      <x:c r="E77" s="1541">
        <x:v>59.68</x:v>
      </x:c>
      <x:c r="F77" s="1541" t="n">
        <x:f>ROUND(D77*E77,2)</x:f>
        <x:v>214.85</x:v>
      </x:c>
      <x:c r="G77" s="1544">
        <x:v>0</x:v>
      </x:c>
      <x:c r="H77" s="579">
        <x:v>0</x:v>
      </x:c>
      <x:c r="I77" s="1544" t="n">
        <x:f>G77+H77</x:f>
        <x:v>0</x:v>
      </x:c>
      <x:c r="J77" s="586">
        <x:v>0</x:v>
      </x:c>
      <x:c r="K77" s="586" t="n">
        <x:f>ROUND(H77*E77,2)</x:f>
        <x:v>0</x:v>
      </x:c>
      <x:c r="L77" s="586" t="n">
        <x:f>J77+K77</x:f>
        <x:v>0</x:v>
      </x:c>
      <x:c r="M77" s="1547" t="n">
        <x:f>IF(D77=0,0,I77/D77)</x:f>
        <x:v>0</x:v>
      </x:c>
    </x:row>
    <x:row r="78" ht="43" customHeight="1">
      <x:c r="A78" s="1824" t="s">
        <x:v>167</x:v>
      </x:c>
      <x:c r="B78" s="1823" t="s">
        <x:v>168</x:v>
      </x:c>
      <x:c r="C78" s="248" t="s">
        <x:v>73</x:v>
      </x:c>
      <x:c r="D78" s="1539">
        <x:v>1</x:v>
      </x:c>
      <x:c r="E78" s="1542">
        <x:v>4648.96</x:v>
      </x:c>
      <x:c r="F78" s="1542" t="n">
        <x:f>ROUND(D78*E78,2)</x:f>
        <x:v>4648.96</x:v>
      </x:c>
      <x:c r="G78" s="1545">
        <x:v>0</x:v>
      </x:c>
      <x:c r="H78" s="579">
        <x:v>0</x:v>
      </x:c>
      <x:c r="I78" s="1545" t="n">
        <x:f>G78+H78</x:f>
        <x:v>0</x:v>
      </x:c>
      <x:c r="J78" s="586">
        <x:v>0</x:v>
      </x:c>
      <x:c r="K78" s="586" t="n">
        <x:f>ROUND(H78*E78,2)</x:f>
        <x:v>0</x:v>
      </x:c>
      <x:c r="L78" s="586" t="n">
        <x:f>J78+K78</x:f>
        <x:v>0</x:v>
      </x:c>
      <x:c r="M78" s="1548" t="n">
        <x:f>IF(D78=0,0,I78/D78)</x:f>
        <x:v>0</x:v>
      </x:c>
    </x:row>
    <x:row r="79" ht="23" customHeight="1">
      <x:c r="A79" s="514" t="s">
        <x:v>169</x:v>
      </x:c>
      <x:c r="B79" s="515" t="s">
        <x:v>170</x:v>
      </x:c>
      <x:c r="C79" s="1817"/>
      <x:c r="D79" s="1818"/>
      <x:c r="E79" s="1819"/>
      <x:c r="F79" s="1819"/>
      <x:c r="G79" s="1818"/>
      <x:c r="H79" s="1818"/>
      <x:c r="I79" s="1818"/>
      <x:c r="J79" s="1819"/>
      <x:c r="K79" s="1819"/>
      <x:c r="L79" s="1819"/>
      <x:c r="M79" s="1820"/>
    </x:row>
    <x:row r="80" ht="23" customHeight="1">
      <x:c r="A80" s="538" t="s">
        <x:v>171</x:v>
      </x:c>
      <x:c r="B80" s="539" t="s">
        <x:v>172</x:v>
      </x:c>
      <x:c r="C80" s="1825"/>
      <x:c r="D80" s="1826"/>
      <x:c r="E80" s="1827"/>
      <x:c r="F80" s="1827"/>
      <x:c r="G80" s="1826"/>
      <x:c r="H80" s="1826"/>
      <x:c r="I80" s="1826"/>
      <x:c r="J80" s="1827"/>
      <x:c r="K80" s="1827"/>
      <x:c r="L80" s="1827"/>
      <x:c r="M80" s="1828"/>
    </x:row>
    <x:row r="81" ht="24" customHeight="1">
      <x:c r="A81" s="1822" t="s">
        <x:v>173</x:v>
      </x:c>
      <x:c r="B81" s="1821" t="s">
        <x:v>174</x:v>
      </x:c>
      <x:c r="C81" s="1500" t="s">
        <x:v>65</x:v>
      </x:c>
      <x:c r="D81" s="1538">
        <x:v>729.49</x:v>
      </x:c>
      <x:c r="E81" s="1541">
        <x:v>3.85</x:v>
      </x:c>
      <x:c r="F81" s="1541" t="n">
        <x:f>ROUND(D81*E81,2)</x:f>
        <x:v>2808.54</x:v>
      </x:c>
      <x:c r="G81" s="1544">
        <x:v>0</x:v>
      </x:c>
      <x:c r="H81" s="579">
        <x:v>0</x:v>
      </x:c>
      <x:c r="I81" s="1544" t="n">
        <x:f>G81+H81</x:f>
        <x:v>0</x:v>
      </x:c>
      <x:c r="J81" s="586">
        <x:v>0</x:v>
      </x:c>
      <x:c r="K81" s="586" t="n">
        <x:f>ROUND(H81*E81,2)</x:f>
        <x:v>0</x:v>
      </x:c>
      <x:c r="L81" s="586" t="n">
        <x:f>J81+K81</x:f>
        <x:v>0</x:v>
      </x:c>
      <x:c r="M81" s="1547" t="n">
        <x:f>IF(D81=0,0,I81/D81)</x:f>
        <x:v>0</x:v>
      </x:c>
    </x:row>
    <x:row r="82" ht="31" customHeight="1">
      <x:c r="A82" s="1824" t="s">
        <x:v>175</x:v>
      </x:c>
      <x:c r="B82" s="1823" t="s">
        <x:v>176</x:v>
      </x:c>
      <x:c r="C82" s="248" t="s">
        <x:v>65</x:v>
      </x:c>
      <x:c r="D82" s="1539">
        <x:v>729.49</x:v>
      </x:c>
      <x:c r="E82" s="1542">
        <x:v>4.45</x:v>
      </x:c>
      <x:c r="F82" s="1542" t="n">
        <x:f>ROUND(D82*E82,2)</x:f>
        <x:v>3246.23</x:v>
      </x:c>
      <x:c r="G82" s="1545">
        <x:v>0</x:v>
      </x:c>
      <x:c r="H82" s="579">
        <x:v>0</x:v>
      </x:c>
      <x:c r="I82" s="1545" t="n">
        <x:f>G82+H82</x:f>
        <x:v>0</x:v>
      </x:c>
      <x:c r="J82" s="586">
        <x:v>0</x:v>
      </x:c>
      <x:c r="K82" s="586" t="n">
        <x:f>ROUND(H82*E82,2)</x:f>
        <x:v>0</x:v>
      </x:c>
      <x:c r="L82" s="586" t="n">
        <x:f>J82+K82</x:f>
        <x:v>0</x:v>
      </x:c>
      <x:c r="M82" s="1548" t="n">
        <x:f>IF(D82=0,0,I82/D82)</x:f>
        <x:v>0</x:v>
      </x:c>
    </x:row>
    <x:row r="83" ht="24" customHeight="1">
      <x:c r="A83" s="1822" t="s">
        <x:v>177</x:v>
      </x:c>
      <x:c r="B83" s="1821" t="s">
        <x:v>178</x:v>
      </x:c>
      <x:c r="C83" s="1500" t="s">
        <x:v>65</x:v>
      </x:c>
      <x:c r="D83" s="1538">
        <x:v>729.49</x:v>
      </x:c>
      <x:c r="E83" s="1541">
        <x:v>19.49</x:v>
      </x:c>
      <x:c r="F83" s="1541" t="n">
        <x:f>ROUND(D83*E83,2)</x:f>
        <x:v>14217.76</x:v>
      </x:c>
      <x:c r="G83" s="1544">
        <x:v>0</x:v>
      </x:c>
      <x:c r="H83" s="579">
        <x:v>0</x:v>
      </x:c>
      <x:c r="I83" s="1544" t="n">
        <x:f>G83+H83</x:f>
        <x:v>0</x:v>
      </x:c>
      <x:c r="J83" s="586">
        <x:v>0</x:v>
      </x:c>
      <x:c r="K83" s="586" t="n">
        <x:f>ROUND(H83*E83,2)</x:f>
        <x:v>0</x:v>
      </x:c>
      <x:c r="L83" s="586" t="n">
        <x:f>J83+K83</x:f>
        <x:v>0</x:v>
      </x:c>
      <x:c r="M83" s="1547" t="n">
        <x:f>IF(D83=0,0,I83/D83)</x:f>
        <x:v>0</x:v>
      </x:c>
    </x:row>
    <x:row r="84" ht="23" customHeight="1">
      <x:c r="A84" s="538" t="s">
        <x:v>179</x:v>
      </x:c>
      <x:c r="B84" s="539" t="s">
        <x:v>180</x:v>
      </x:c>
      <x:c r="C84" s="1825"/>
      <x:c r="D84" s="1826"/>
      <x:c r="E84" s="1827"/>
      <x:c r="F84" s="1827"/>
      <x:c r="G84" s="1826"/>
      <x:c r="H84" s="1826"/>
      <x:c r="I84" s="1826"/>
      <x:c r="J84" s="1827"/>
      <x:c r="K84" s="1827"/>
      <x:c r="L84" s="1827"/>
      <x:c r="M84" s="1828"/>
    </x:row>
    <x:row r="85" ht="31" customHeight="1">
      <x:c r="A85" s="1824" t="s">
        <x:v>181</x:v>
      </x:c>
      <x:c r="B85" s="1823" t="s">
        <x:v>182</x:v>
      </x:c>
      <x:c r="C85" s="248" t="s">
        <x:v>65</x:v>
      </x:c>
      <x:c r="D85" s="1539">
        <x:v>32.23</x:v>
      </x:c>
      <x:c r="E85" s="1542">
        <x:v>2.54</x:v>
      </x:c>
      <x:c r="F85" s="1542" t="n">
        <x:f>ROUND(D85*E85,2)</x:f>
        <x:v>81.86</x:v>
      </x:c>
      <x:c r="G85" s="1545">
        <x:v>0</x:v>
      </x:c>
      <x:c r="H85" s="579">
        <x:v>0</x:v>
      </x:c>
      <x:c r="I85" s="1545" t="n">
        <x:f>G85+H85</x:f>
        <x:v>0</x:v>
      </x:c>
      <x:c r="J85" s="586">
        <x:v>0</x:v>
      </x:c>
      <x:c r="K85" s="586" t="n">
        <x:f>ROUND(H85*E85,2)</x:f>
        <x:v>0</x:v>
      </x:c>
      <x:c r="L85" s="586" t="n">
        <x:f>J85+K85</x:f>
        <x:v>0</x:v>
      </x:c>
      <x:c r="M85" s="1548" t="n">
        <x:f>IF(D85=0,0,I85/D85)</x:f>
        <x:v>0</x:v>
      </x:c>
    </x:row>
    <x:row r="86" ht="31" customHeight="1">
      <x:c r="A86" s="1822" t="s">
        <x:v>183</x:v>
      </x:c>
      <x:c r="B86" s="1821" t="s">
        <x:v>184</x:v>
      </x:c>
      <x:c r="C86" s="1500" t="s">
        <x:v>65</x:v>
      </x:c>
      <x:c r="D86" s="1538">
        <x:v>32.23</x:v>
      </x:c>
      <x:c r="E86" s="1541">
        <x:v>20.32</x:v>
      </x:c>
      <x:c r="F86" s="1541" t="n">
        <x:f>ROUND(D86*E86,2)</x:f>
        <x:v>654.91</x:v>
      </x:c>
      <x:c r="G86" s="1544">
        <x:v>0</x:v>
      </x:c>
      <x:c r="H86" s="579">
        <x:v>0</x:v>
      </x:c>
      <x:c r="I86" s="1544" t="n">
        <x:f>G86+H86</x:f>
        <x:v>0</x:v>
      </x:c>
      <x:c r="J86" s="586">
        <x:v>0</x:v>
      </x:c>
      <x:c r="K86" s="586" t="n">
        <x:f>ROUND(H86*E86,2)</x:f>
        <x:v>0</x:v>
      </x:c>
      <x:c r="L86" s="586" t="n">
        <x:f>J86+K86</x:f>
        <x:v>0</x:v>
      </x:c>
      <x:c r="M86" s="1547" t="n">
        <x:f>IF(D86=0,0,I86/D86)</x:f>
        <x:v>0</x:v>
      </x:c>
    </x:row>
    <x:row r="87" ht="23" customHeight="1">
      <x:c r="A87" s="514" t="s">
        <x:v>185</x:v>
      </x:c>
      <x:c r="B87" s="515" t="s">
        <x:v>186</x:v>
      </x:c>
      <x:c r="C87" s="1817"/>
      <x:c r="D87" s="1818"/>
      <x:c r="E87" s="1819"/>
      <x:c r="F87" s="1819"/>
      <x:c r="G87" s="1818"/>
      <x:c r="H87" s="1818"/>
      <x:c r="I87" s="1818"/>
      <x:c r="J87" s="1819"/>
      <x:c r="K87" s="1819"/>
      <x:c r="L87" s="1819"/>
      <x:c r="M87" s="1820"/>
    </x:row>
    <x:row r="88" ht="23" customHeight="1">
      <x:c r="A88" s="538" t="s">
        <x:v>187</x:v>
      </x:c>
      <x:c r="B88" s="539" t="s">
        <x:v>172</x:v>
      </x:c>
      <x:c r="C88" s="1825"/>
      <x:c r="D88" s="1826"/>
      <x:c r="E88" s="1827"/>
      <x:c r="F88" s="1827"/>
      <x:c r="G88" s="1826"/>
      <x:c r="H88" s="1826"/>
      <x:c r="I88" s="1826"/>
      <x:c r="J88" s="1827"/>
      <x:c r="K88" s="1827"/>
      <x:c r="L88" s="1827"/>
      <x:c r="M88" s="1828"/>
    </x:row>
    <x:row r="89" ht="24" customHeight="1">
      <x:c r="A89" s="1824" t="s">
        <x:v>188</x:v>
      </x:c>
      <x:c r="B89" s="1823" t="s">
        <x:v>174</x:v>
      </x:c>
      <x:c r="C89" s="248" t="s">
        <x:v>65</x:v>
      </x:c>
      <x:c r="D89" s="1539">
        <x:v>347.84</x:v>
      </x:c>
      <x:c r="E89" s="1542">
        <x:v>3.85</x:v>
      </x:c>
      <x:c r="F89" s="1542" t="n">
        <x:f>ROUND(D89*E89,2)</x:f>
        <x:v>1339.18</x:v>
      </x:c>
      <x:c r="G89" s="1545">
        <x:v>0</x:v>
      </x:c>
      <x:c r="H89" s="579">
        <x:v>0</x:v>
      </x:c>
      <x:c r="I89" s="1545" t="n">
        <x:f>G89+H89</x:f>
        <x:v>0</x:v>
      </x:c>
      <x:c r="J89" s="586">
        <x:v>0</x:v>
      </x:c>
      <x:c r="K89" s="586" t="n">
        <x:f>ROUND(H89*E89,2)</x:f>
        <x:v>0</x:v>
      </x:c>
      <x:c r="L89" s="586" t="n">
        <x:f>J89+K89</x:f>
        <x:v>0</x:v>
      </x:c>
      <x:c r="M89" s="1548" t="n">
        <x:f>IF(D89=0,0,I89/D89)</x:f>
        <x:v>0</x:v>
      </x:c>
    </x:row>
    <x:row r="90" ht="31" customHeight="1">
      <x:c r="A90" s="1822" t="s">
        <x:v>189</x:v>
      </x:c>
      <x:c r="B90" s="1821" t="s">
        <x:v>176</x:v>
      </x:c>
      <x:c r="C90" s="1500" t="s">
        <x:v>65</x:v>
      </x:c>
      <x:c r="D90" s="1538">
        <x:v>347.84</x:v>
      </x:c>
      <x:c r="E90" s="1541">
        <x:v>4.45</x:v>
      </x:c>
      <x:c r="F90" s="1541" t="n">
        <x:f>ROUND(D90*E90,2)</x:f>
        <x:v>1547.89</x:v>
      </x:c>
      <x:c r="G90" s="1544">
        <x:v>0</x:v>
      </x:c>
      <x:c r="H90" s="579">
        <x:v>0</x:v>
      </x:c>
      <x:c r="I90" s="1544" t="n">
        <x:f>G90+H90</x:f>
        <x:v>0</x:v>
      </x:c>
      <x:c r="J90" s="586">
        <x:v>0</x:v>
      </x:c>
      <x:c r="K90" s="586" t="n">
        <x:f>ROUND(H90*E90,2)</x:f>
        <x:v>0</x:v>
      </x:c>
      <x:c r="L90" s="586" t="n">
        <x:f>J90+K90</x:f>
        <x:v>0</x:v>
      </x:c>
      <x:c r="M90" s="1547" t="n">
        <x:f>IF(D90=0,0,I90/D90)</x:f>
        <x:v>0</x:v>
      </x:c>
    </x:row>
    <x:row r="91" ht="24" customHeight="1">
      <x:c r="A91" s="1824" t="s">
        <x:v>190</x:v>
      </x:c>
      <x:c r="B91" s="1823" t="s">
        <x:v>178</x:v>
      </x:c>
      <x:c r="C91" s="248" t="s">
        <x:v>65</x:v>
      </x:c>
      <x:c r="D91" s="1539">
        <x:v>347.84</x:v>
      </x:c>
      <x:c r="E91" s="1542">
        <x:v>19.49</x:v>
      </x:c>
      <x:c r="F91" s="1542" t="n">
        <x:f>ROUND(D91*E91,2)</x:f>
        <x:v>6779.4</x:v>
      </x:c>
      <x:c r="G91" s="1545">
        <x:v>0</x:v>
      </x:c>
      <x:c r="H91" s="579">
        <x:v>0</x:v>
      </x:c>
      <x:c r="I91" s="1545" t="n">
        <x:f>G91+H91</x:f>
        <x:v>0</x:v>
      </x:c>
      <x:c r="J91" s="586">
        <x:v>0</x:v>
      </x:c>
      <x:c r="K91" s="586" t="n">
        <x:f>ROUND(H91*E91,2)</x:f>
        <x:v>0</x:v>
      </x:c>
      <x:c r="L91" s="586" t="n">
        <x:f>J91+K91</x:f>
        <x:v>0</x:v>
      </x:c>
      <x:c r="M91" s="1548" t="n">
        <x:f>IF(D91=0,0,I91/D91)</x:f>
        <x:v>0</x:v>
      </x:c>
    </x:row>
    <x:row r="92" ht="23" customHeight="1">
      <x:c r="A92" s="514" t="s">
        <x:v>191</x:v>
      </x:c>
      <x:c r="B92" s="515" t="s">
        <x:v>192</x:v>
      </x:c>
      <x:c r="C92" s="1817"/>
      <x:c r="D92" s="1818"/>
      <x:c r="E92" s="1819"/>
      <x:c r="F92" s="1819"/>
      <x:c r="G92" s="1818"/>
      <x:c r="H92" s="1818"/>
      <x:c r="I92" s="1818"/>
      <x:c r="J92" s="1819"/>
      <x:c r="K92" s="1819"/>
      <x:c r="L92" s="1819"/>
      <x:c r="M92" s="1820"/>
    </x:row>
    <x:row r="93" ht="43" customHeight="1">
      <x:c r="A93" s="1822" t="s">
        <x:v>193</x:v>
      </x:c>
      <x:c r="B93" s="1821" t="s">
        <x:v>194</x:v>
      </x:c>
      <x:c r="C93" s="1500" t="s">
        <x:v>65</x:v>
      </x:c>
      <x:c r="D93" s="1538">
        <x:v>407.63</x:v>
      </x:c>
      <x:c r="E93" s="1541">
        <x:v>5.65</x:v>
      </x:c>
      <x:c r="F93" s="1541" t="n">
        <x:f>ROUND(D93*E93,2)</x:f>
        <x:v>2303.11</x:v>
      </x:c>
      <x:c r="G93" s="1544">
        <x:v>0</x:v>
      </x:c>
      <x:c r="H93" s="579">
        <x:v>0</x:v>
      </x:c>
      <x:c r="I93" s="1544" t="n">
        <x:f>G93+H93</x:f>
        <x:v>0</x:v>
      </x:c>
      <x:c r="J93" s="586">
        <x:v>0</x:v>
      </x:c>
      <x:c r="K93" s="586" t="n">
        <x:f>ROUND(H93*E93,2)</x:f>
        <x:v>0</x:v>
      </x:c>
      <x:c r="L93" s="586" t="n">
        <x:f>J93+K93</x:f>
        <x:v>0</x:v>
      </x:c>
      <x:c r="M93" s="1547" t="n">
        <x:f>IF(D93=0,0,I93/D93)</x:f>
        <x:v>0</x:v>
      </x:c>
    </x:row>
    <x:row r="94" ht="43" customHeight="1">
      <x:c r="A94" s="1824" t="s">
        <x:v>195</x:v>
      </x:c>
      <x:c r="B94" s="1823" t="s">
        <x:v>196</x:v>
      </x:c>
      <x:c r="C94" s="248" t="s">
        <x:v>65</x:v>
      </x:c>
      <x:c r="D94" s="1539">
        <x:v>407.63</x:v>
      </x:c>
      <x:c r="E94" s="1542">
        <x:v>45.91</x:v>
      </x:c>
      <x:c r="F94" s="1542" t="n">
        <x:f>ROUND(D94*E94,2)</x:f>
        <x:v>18714.29</x:v>
      </x:c>
      <x:c r="G94" s="1545">
        <x:v>0</x:v>
      </x:c>
      <x:c r="H94" s="579">
        <x:v>0</x:v>
      </x:c>
      <x:c r="I94" s="1545" t="n">
        <x:f>G94+H94</x:f>
        <x:v>0</x:v>
      </x:c>
      <x:c r="J94" s="586">
        <x:v>0</x:v>
      </x:c>
      <x:c r="K94" s="586" t="n">
        <x:f>ROUND(H94*E94,2)</x:f>
        <x:v>0</x:v>
      </x:c>
      <x:c r="L94" s="586" t="n">
        <x:f>J94+K94</x:f>
        <x:v>0</x:v>
      </x:c>
      <x:c r="M94" s="1548" t="n">
        <x:f>IF(D94=0,0,I94/D94)</x:f>
        <x:v>0</x:v>
      </x:c>
    </x:row>
    <x:row r="95" ht="31" customHeight="1">
      <x:c r="A95" s="1822" t="s">
        <x:v>197</x:v>
      </x:c>
      <x:c r="B95" s="1821" t="s">
        <x:v>198</x:v>
      </x:c>
      <x:c r="C95" s="1500" t="s">
        <x:v>73</x:v>
      </x:c>
      <x:c r="D95" s="1538">
        <x:v>16</x:v>
      </x:c>
      <x:c r="E95" s="1541">
        <x:v>99.3</x:v>
      </x:c>
      <x:c r="F95" s="1541" t="n">
        <x:f>ROUND(D95*E95,2)</x:f>
        <x:v>1588.8</x:v>
      </x:c>
      <x:c r="G95" s="1544">
        <x:v>0</x:v>
      </x:c>
      <x:c r="H95" s="579">
        <x:v>0</x:v>
      </x:c>
      <x:c r="I95" s="1544" t="n">
        <x:f>G95+H95</x:f>
        <x:v>0</x:v>
      </x:c>
      <x:c r="J95" s="586">
        <x:v>0</x:v>
      </x:c>
      <x:c r="K95" s="586" t="n">
        <x:f>ROUND(H95*E95,2)</x:f>
        <x:v>0</x:v>
      </x:c>
      <x:c r="L95" s="586" t="n">
        <x:f>J95+K95</x:f>
        <x:v>0</x:v>
      </x:c>
      <x:c r="M95" s="1547" t="n">
        <x:f>IF(D95=0,0,I95/D95)</x:f>
        <x:v>0</x:v>
      </x:c>
    </x:row>
    <x:row r="96" ht="43" customHeight="1">
      <x:c r="A96" s="1824" t="s">
        <x:v>199</x:v>
      </x:c>
      <x:c r="B96" s="1823" t="s">
        <x:v>200</x:v>
      </x:c>
      <x:c r="C96" s="248" t="s">
        <x:v>152</x:v>
      </x:c>
      <x:c r="D96" s="1539">
        <x:v>16</x:v>
      </x:c>
      <x:c r="E96" s="1542">
        <x:v>220.07</x:v>
      </x:c>
      <x:c r="F96" s="1542" t="n">
        <x:f>ROUND(D96*E96,2)</x:f>
        <x:v>3521.12</x:v>
      </x:c>
      <x:c r="G96" s="1545">
        <x:v>0</x:v>
      </x:c>
      <x:c r="H96" s="579">
        <x:v>0</x:v>
      </x:c>
      <x:c r="I96" s="1545" t="n">
        <x:f>G96+H96</x:f>
        <x:v>0</x:v>
      </x:c>
      <x:c r="J96" s="586">
        <x:v>0</x:v>
      </x:c>
      <x:c r="K96" s="586" t="n">
        <x:f>ROUND(H96*E96,2)</x:f>
        <x:v>0</x:v>
      </x:c>
      <x:c r="L96" s="586" t="n">
        <x:f>J96+K96</x:f>
        <x:v>0</x:v>
      </x:c>
      <x:c r="M96" s="1548" t="n">
        <x:f>IF(D96=0,0,I96/D96)</x:f>
        <x:v>0</x:v>
      </x:c>
    </x:row>
    <x:row r="97" ht="31" customHeight="1">
      <x:c r="A97" s="1822" t="s">
        <x:v>201</x:v>
      </x:c>
      <x:c r="B97" s="1821" t="s">
        <x:v>202</x:v>
      </x:c>
      <x:c r="C97" s="1500" t="s">
        <x:v>152</x:v>
      </x:c>
      <x:c r="D97" s="1538">
        <x:v>29.21</x:v>
      </x:c>
      <x:c r="E97" s="1541">
        <x:v>76.04</x:v>
      </x:c>
      <x:c r="F97" s="1541" t="n">
        <x:f>ROUND(D97*E97,2)</x:f>
        <x:v>2221.13</x:v>
      </x:c>
      <x:c r="G97" s="1544">
        <x:v>0</x:v>
      </x:c>
      <x:c r="H97" s="579">
        <x:v>0</x:v>
      </x:c>
      <x:c r="I97" s="1544" t="n">
        <x:f>G97+H97</x:f>
        <x:v>0</x:v>
      </x:c>
      <x:c r="J97" s="586">
        <x:v>0</x:v>
      </x:c>
      <x:c r="K97" s="586" t="n">
        <x:f>ROUND(H97*E97,2)</x:f>
        <x:v>0</x:v>
      </x:c>
      <x:c r="L97" s="586" t="n">
        <x:f>J97+K97</x:f>
        <x:v>0</x:v>
      </x:c>
      <x:c r="M97" s="1547" t="n">
        <x:f>IF(D97=0,0,I97/D97)</x:f>
        <x:v>0</x:v>
      </x:c>
    </x:row>
    <x:row r="98" ht="23" customHeight="1">
      <x:c r="A98" s="514" t="s">
        <x:v>203</x:v>
      </x:c>
      <x:c r="B98" s="515" t="s">
        <x:v>204</x:v>
      </x:c>
      <x:c r="C98" s="1817"/>
      <x:c r="D98" s="1818"/>
      <x:c r="E98" s="1819"/>
      <x:c r="F98" s="1819"/>
      <x:c r="G98" s="1818"/>
      <x:c r="H98" s="1818"/>
      <x:c r="I98" s="1818"/>
      <x:c r="J98" s="1819"/>
      <x:c r="K98" s="1819"/>
      <x:c r="L98" s="1819"/>
      <x:c r="M98" s="1820"/>
    </x:row>
    <x:row r="99" ht="23" customHeight="1">
      <x:c r="A99" s="538" t="s">
        <x:v>205</x:v>
      </x:c>
      <x:c r="B99" s="539" t="s">
        <x:v>206</x:v>
      </x:c>
      <x:c r="C99" s="1825"/>
      <x:c r="D99" s="1826"/>
      <x:c r="E99" s="1827"/>
      <x:c r="F99" s="1827"/>
      <x:c r="G99" s="1826"/>
      <x:c r="H99" s="1826"/>
      <x:c r="I99" s="1826"/>
      <x:c r="J99" s="1827"/>
      <x:c r="K99" s="1827"/>
      <x:c r="L99" s="1827"/>
      <x:c r="M99" s="1828"/>
    </x:row>
    <x:row r="100" ht="31" customHeight="1">
      <x:c r="A100" s="1824" t="s">
        <x:v>207</x:v>
      </x:c>
      <x:c r="B100" s="1823" t="s">
        <x:v>208</x:v>
      </x:c>
      <x:c r="C100" s="248" t="s">
        <x:v>73</x:v>
      </x:c>
      <x:c r="D100" s="1539">
        <x:v>11</x:v>
      </x:c>
      <x:c r="E100" s="1542">
        <x:v>14.53</x:v>
      </x:c>
      <x:c r="F100" s="1542" t="n">
        <x:f>ROUND(D100*E100,2)</x:f>
        <x:v>159.83</x:v>
      </x:c>
      <x:c r="G100" s="1545">
        <x:v>0</x:v>
      </x:c>
      <x:c r="H100" s="579">
        <x:v>0</x:v>
      </x:c>
      <x:c r="I100" s="1545" t="n">
        <x:f>G100+H100</x:f>
        <x:v>0</x:v>
      </x:c>
      <x:c r="J100" s="586">
        <x:v>0</x:v>
      </x:c>
      <x:c r="K100" s="586" t="n">
        <x:f>ROUND(H100*E100,2)</x:f>
        <x:v>0</x:v>
      </x:c>
      <x:c r="L100" s="586" t="n">
        <x:f>J100+K100</x:f>
        <x:v>0</x:v>
      </x:c>
      <x:c r="M100" s="1548" t="n">
        <x:f>IF(D100=0,0,I100/D100)</x:f>
        <x:v>0</x:v>
      </x:c>
    </x:row>
    <x:row r="101" ht="43" customHeight="1">
      <x:c r="A101" s="1822" t="s">
        <x:v>209</x:v>
      </x:c>
      <x:c r="B101" s="1821" t="s">
        <x:v>210</x:v>
      </x:c>
      <x:c r="C101" s="1500" t="s">
        <x:v>73</x:v>
      </x:c>
      <x:c r="D101" s="1538">
        <x:v>3</x:v>
      </x:c>
      <x:c r="E101" s="1541">
        <x:v>311.89</x:v>
      </x:c>
      <x:c r="F101" s="1541" t="n">
        <x:f>ROUND(D101*E101,2)</x:f>
        <x:v>935.67</x:v>
      </x:c>
      <x:c r="G101" s="1544">
        <x:v>0</x:v>
      </x:c>
      <x:c r="H101" s="579">
        <x:v>0</x:v>
      </x:c>
      <x:c r="I101" s="1544" t="n">
        <x:f>G101+H101</x:f>
        <x:v>0</x:v>
      </x:c>
      <x:c r="J101" s="586">
        <x:v>0</x:v>
      </x:c>
      <x:c r="K101" s="586" t="n">
        <x:f>ROUND(H101*E101,2)</x:f>
        <x:v>0</x:v>
      </x:c>
      <x:c r="L101" s="586" t="n">
        <x:f>J101+K101</x:f>
        <x:v>0</x:v>
      </x:c>
      <x:c r="M101" s="1547" t="n">
        <x:f>IF(D101=0,0,I101/D101)</x:f>
        <x:v>0</x:v>
      </x:c>
    </x:row>
    <x:row r="102" ht="43" customHeight="1">
      <x:c r="A102" s="1824" t="s">
        <x:v>211</x:v>
      </x:c>
      <x:c r="B102" s="1823" t="s">
        <x:v>212</x:v>
      </x:c>
      <x:c r="C102" s="248" t="s">
        <x:v>73</x:v>
      </x:c>
      <x:c r="D102" s="1539">
        <x:v>3</x:v>
      </x:c>
      <x:c r="E102" s="1542">
        <x:v>101.46</x:v>
      </x:c>
      <x:c r="F102" s="1542" t="n">
        <x:f>ROUND(D102*E102,2)</x:f>
        <x:v>304.38</x:v>
      </x:c>
      <x:c r="G102" s="1545">
        <x:v>0</x:v>
      </x:c>
      <x:c r="H102" s="579">
        <x:v>0</x:v>
      </x:c>
      <x:c r="I102" s="1545" t="n">
        <x:f>G102+H102</x:f>
        <x:v>0</x:v>
      </x:c>
      <x:c r="J102" s="586">
        <x:v>0</x:v>
      </x:c>
      <x:c r="K102" s="586" t="n">
        <x:f>ROUND(H102*E102,2)</x:f>
        <x:v>0</x:v>
      </x:c>
      <x:c r="L102" s="586" t="n">
        <x:f>J102+K102</x:f>
        <x:v>0</x:v>
      </x:c>
      <x:c r="M102" s="1548" t="n">
        <x:f>IF(D102=0,0,I102/D102)</x:f>
        <x:v>0</x:v>
      </x:c>
    </x:row>
    <x:row r="103" ht="31" customHeight="1">
      <x:c r="A103" s="1822" t="s">
        <x:v>213</x:v>
      </x:c>
      <x:c r="B103" s="1821" t="s">
        <x:v>214</x:v>
      </x:c>
      <x:c r="C103" s="1500" t="s">
        <x:v>73</x:v>
      </x:c>
      <x:c r="D103" s="1538">
        <x:v>11</x:v>
      </x:c>
      <x:c r="E103" s="1541">
        <x:v>9.8</x:v>
      </x:c>
      <x:c r="F103" s="1541" t="n">
        <x:f>ROUND(D103*E103,2)</x:f>
        <x:v>107.8</x:v>
      </x:c>
      <x:c r="G103" s="1544">
        <x:v>0</x:v>
      </x:c>
      <x:c r="H103" s="579">
        <x:v>0</x:v>
      </x:c>
      <x:c r="I103" s="1544" t="n">
        <x:f>G103+H103</x:f>
        <x:v>0</x:v>
      </x:c>
      <x:c r="J103" s="586">
        <x:v>0</x:v>
      </x:c>
      <x:c r="K103" s="586" t="n">
        <x:f>ROUND(H103*E103,2)</x:f>
        <x:v>0</x:v>
      </x:c>
      <x:c r="L103" s="586" t="n">
        <x:f>J103+K103</x:f>
        <x:v>0</x:v>
      </x:c>
      <x:c r="M103" s="1547" t="n">
        <x:f>IF(D103=0,0,I103/D103)</x:f>
        <x:v>0</x:v>
      </x:c>
    </x:row>
    <x:row r="104" ht="43" customHeight="1">
      <x:c r="A104" s="1824" t="s">
        <x:v>215</x:v>
      </x:c>
      <x:c r="B104" s="1823" t="s">
        <x:v>216</x:v>
      </x:c>
      <x:c r="C104" s="248" t="s">
        <x:v>152</x:v>
      </x:c>
      <x:c r="D104" s="1539">
        <x:v>76.5</x:v>
      </x:c>
      <x:c r="E104" s="1542">
        <x:v>27.12</x:v>
      </x:c>
      <x:c r="F104" s="1542" t="n">
        <x:f>ROUND(D104*E104,2)</x:f>
        <x:v>2074.68</x:v>
      </x:c>
      <x:c r="G104" s="1545">
        <x:v>0</x:v>
      </x:c>
      <x:c r="H104" s="579">
        <x:v>0</x:v>
      </x:c>
      <x:c r="I104" s="1545" t="n">
        <x:f>G104+H104</x:f>
        <x:v>0</x:v>
      </x:c>
      <x:c r="J104" s="586">
        <x:v>0</x:v>
      </x:c>
      <x:c r="K104" s="586" t="n">
        <x:f>ROUND(H104*E104,2)</x:f>
        <x:v>0</x:v>
      </x:c>
      <x:c r="L104" s="586" t="n">
        <x:f>J104+K104</x:f>
        <x:v>0</x:v>
      </x:c>
      <x:c r="M104" s="1548" t="n">
        <x:f>IF(D104=0,0,I104/D104)</x:f>
        <x:v>0</x:v>
      </x:c>
    </x:row>
    <x:row r="105" ht="43" customHeight="1">
      <x:c r="A105" s="1822" t="s">
        <x:v>217</x:v>
      </x:c>
      <x:c r="B105" s="1821" t="s">
        <x:v>218</x:v>
      </x:c>
      <x:c r="C105" s="1500" t="s">
        <x:v>152</x:v>
      </x:c>
      <x:c r="D105" s="1538">
        <x:v>28.5</x:v>
      </x:c>
      <x:c r="E105" s="1541">
        <x:v>16.44</x:v>
      </x:c>
      <x:c r="F105" s="1541" t="n">
        <x:f>ROUND(D105*E105,2)</x:f>
        <x:v>468.54</x:v>
      </x:c>
      <x:c r="G105" s="1544">
        <x:v>0</x:v>
      </x:c>
      <x:c r="H105" s="579">
        <x:v>0</x:v>
      </x:c>
      <x:c r="I105" s="1544" t="n">
        <x:f>G105+H105</x:f>
        <x:v>0</x:v>
      </x:c>
      <x:c r="J105" s="586">
        <x:v>0</x:v>
      </x:c>
      <x:c r="K105" s="586" t="n">
        <x:f>ROUND(H105*E105,2)</x:f>
        <x:v>0</x:v>
      </x:c>
      <x:c r="L105" s="586" t="n">
        <x:f>J105+K105</x:f>
        <x:v>0</x:v>
      </x:c>
      <x:c r="M105" s="1547" t="n">
        <x:f>IF(D105=0,0,I105/D105)</x:f>
        <x:v>0</x:v>
      </x:c>
    </x:row>
    <x:row r="106" ht="31" customHeight="1">
      <x:c r="A106" s="1824" t="s">
        <x:v>219</x:v>
      </x:c>
      <x:c r="B106" s="1823" t="s">
        <x:v>220</x:v>
      </x:c>
      <x:c r="C106" s="248" t="s">
        <x:v>152</x:v>
      </x:c>
      <x:c r="D106" s="1539">
        <x:v>19</x:v>
      </x:c>
      <x:c r="E106" s="1542">
        <x:v>9.12</x:v>
      </x:c>
      <x:c r="F106" s="1542" t="n">
        <x:f>ROUND(D106*E106,2)</x:f>
        <x:v>173.28</x:v>
      </x:c>
      <x:c r="G106" s="1545">
        <x:v>0</x:v>
      </x:c>
      <x:c r="H106" s="579">
        <x:v>0</x:v>
      </x:c>
      <x:c r="I106" s="1545" t="n">
        <x:f>G106+H106</x:f>
        <x:v>0</x:v>
      </x:c>
      <x:c r="J106" s="586">
        <x:v>0</x:v>
      </x:c>
      <x:c r="K106" s="586" t="n">
        <x:f>ROUND(H106*E106,2)</x:f>
        <x:v>0</x:v>
      </x:c>
      <x:c r="L106" s="586" t="n">
        <x:f>J106+K106</x:f>
        <x:v>0</x:v>
      </x:c>
      <x:c r="M106" s="1548" t="n">
        <x:f>IF(D106=0,0,I106/D106)</x:f>
        <x:v>0</x:v>
      </x:c>
    </x:row>
    <x:row r="107" ht="23" customHeight="1">
      <x:c r="A107" s="538" t="s">
        <x:v>221</x:v>
      </x:c>
      <x:c r="B107" s="539" t="s">
        <x:v>222</x:v>
      </x:c>
      <x:c r="C107" s="1825"/>
      <x:c r="D107" s="1826"/>
      <x:c r="E107" s="1827"/>
      <x:c r="F107" s="1827"/>
      <x:c r="G107" s="1826"/>
      <x:c r="H107" s="1826"/>
      <x:c r="I107" s="1826"/>
      <x:c r="J107" s="1827"/>
      <x:c r="K107" s="1827"/>
      <x:c r="L107" s="1827"/>
      <x:c r="M107" s="1828"/>
    </x:row>
    <x:row r="108" ht="31" customHeight="1">
      <x:c r="A108" s="1822" t="s">
        <x:v>223</x:v>
      </x:c>
      <x:c r="B108" s="1821" t="s">
        <x:v>224</x:v>
      </x:c>
      <x:c r="C108" s="1500" t="s">
        <x:v>73</x:v>
      </x:c>
      <x:c r="D108" s="1538">
        <x:v>25</x:v>
      </x:c>
      <x:c r="E108" s="1541">
        <x:v>39.45</x:v>
      </x:c>
      <x:c r="F108" s="1541" t="n">
        <x:f>ROUND(D108*E108,2)</x:f>
        <x:v>986.25</x:v>
      </x:c>
      <x:c r="G108" s="1544">
        <x:v>0</x:v>
      </x:c>
      <x:c r="H108" s="579">
        <x:v>0</x:v>
      </x:c>
      <x:c r="I108" s="1544" t="n">
        <x:f>G108+H108</x:f>
        <x:v>0</x:v>
      </x:c>
      <x:c r="J108" s="586">
        <x:v>0</x:v>
      </x:c>
      <x:c r="K108" s="586" t="n">
        <x:f>ROUND(H108*E108,2)</x:f>
        <x:v>0</x:v>
      </x:c>
      <x:c r="L108" s="586" t="n">
        <x:f>J108+K108</x:f>
        <x:v>0</x:v>
      </x:c>
      <x:c r="M108" s="1547" t="n">
        <x:f>IF(D108=0,0,I108/D108)</x:f>
        <x:v>0</x:v>
      </x:c>
    </x:row>
    <x:row r="109" ht="31" customHeight="1">
      <x:c r="A109" s="1824" t="s">
        <x:v>225</x:v>
      </x:c>
      <x:c r="B109" s="1823" t="s">
        <x:v>226</x:v>
      </x:c>
      <x:c r="C109" s="248" t="s">
        <x:v>73</x:v>
      </x:c>
      <x:c r="D109" s="1539">
        <x:v>36</x:v>
      </x:c>
      <x:c r="E109" s="1542">
        <x:v>22.73</x:v>
      </x:c>
      <x:c r="F109" s="1542" t="n">
        <x:f>ROUND(D109*E109,2)</x:f>
        <x:v>818.28</x:v>
      </x:c>
      <x:c r="G109" s="1545">
        <x:v>0</x:v>
      </x:c>
      <x:c r="H109" s="579">
        <x:v>0</x:v>
      </x:c>
      <x:c r="I109" s="1545" t="n">
        <x:f>G109+H109</x:f>
        <x:v>0</x:v>
      </x:c>
      <x:c r="J109" s="586">
        <x:v>0</x:v>
      </x:c>
      <x:c r="K109" s="586" t="n">
        <x:f>ROUND(H109*E109,2)</x:f>
        <x:v>0</x:v>
      </x:c>
      <x:c r="L109" s="586" t="n">
        <x:f>J109+K109</x:f>
        <x:v>0</x:v>
      </x:c>
      <x:c r="M109" s="1548" t="n">
        <x:f>IF(D109=0,0,I109/D109)</x:f>
        <x:v>0</x:v>
      </x:c>
    </x:row>
    <x:row r="110" ht="31" customHeight="1">
      <x:c r="A110" s="1822" t="s">
        <x:v>227</x:v>
      </x:c>
      <x:c r="B110" s="1821" t="s">
        <x:v>208</x:v>
      </x:c>
      <x:c r="C110" s="1500" t="s">
        <x:v>73</x:v>
      </x:c>
      <x:c r="D110" s="1538">
        <x:v>41</x:v>
      </x:c>
      <x:c r="E110" s="1541">
        <x:v>14.53</x:v>
      </x:c>
      <x:c r="F110" s="1541" t="n">
        <x:f>ROUND(D110*E110,2)</x:f>
        <x:v>595.73</x:v>
      </x:c>
      <x:c r="G110" s="1544">
        <x:v>0</x:v>
      </x:c>
      <x:c r="H110" s="579">
        <x:v>0</x:v>
      </x:c>
      <x:c r="I110" s="1544" t="n">
        <x:f>G110+H110</x:f>
        <x:v>0</x:v>
      </x:c>
      <x:c r="J110" s="586">
        <x:v>0</x:v>
      </x:c>
      <x:c r="K110" s="586" t="n">
        <x:f>ROUND(H110*E110,2)</x:f>
        <x:v>0</x:v>
      </x:c>
      <x:c r="L110" s="586" t="n">
        <x:f>J110+K110</x:f>
        <x:v>0</x:v>
      </x:c>
      <x:c r="M110" s="1547" t="n">
        <x:f>IF(D110=0,0,I110/D110)</x:f>
        <x:v>0</x:v>
      </x:c>
    </x:row>
    <x:row r="111" ht="31" customHeight="1">
      <x:c r="A111" s="1824" t="s">
        <x:v>228</x:v>
      </x:c>
      <x:c r="B111" s="1823" t="s">
        <x:v>229</x:v>
      </x:c>
      <x:c r="C111" s="248" t="s">
        <x:v>73</x:v>
      </x:c>
      <x:c r="D111" s="1539">
        <x:v>40</x:v>
      </x:c>
      <x:c r="E111" s="1542">
        <x:v>22.61</x:v>
      </x:c>
      <x:c r="F111" s="1542" t="n">
        <x:f>ROUND(D111*E111,2)</x:f>
        <x:v>904.4</x:v>
      </x:c>
      <x:c r="G111" s="1545">
        <x:v>0</x:v>
      </x:c>
      <x:c r="H111" s="579">
        <x:v>0</x:v>
      </x:c>
      <x:c r="I111" s="1545" t="n">
        <x:f>G111+H111</x:f>
        <x:v>0</x:v>
      </x:c>
      <x:c r="J111" s="586">
        <x:v>0</x:v>
      </x:c>
      <x:c r="K111" s="586" t="n">
        <x:f>ROUND(H111*E111,2)</x:f>
        <x:v>0</x:v>
      </x:c>
      <x:c r="L111" s="586" t="n">
        <x:f>J111+K111</x:f>
        <x:v>0</x:v>
      </x:c>
      <x:c r="M111" s="1548" t="n">
        <x:f>IF(D111=0,0,I111/D111)</x:f>
        <x:v>0</x:v>
      </x:c>
    </x:row>
    <x:row r="112" ht="23" customHeight="1">
      <x:c r="A112" s="538" t="s">
        <x:v>230</x:v>
      </x:c>
      <x:c r="B112" s="539" t="s">
        <x:v>231</x:v>
      </x:c>
      <x:c r="C112" s="1825"/>
      <x:c r="D112" s="1826"/>
      <x:c r="E112" s="1827"/>
      <x:c r="F112" s="1827"/>
      <x:c r="G112" s="1826"/>
      <x:c r="H112" s="1826"/>
      <x:c r="I112" s="1826"/>
      <x:c r="J112" s="1827"/>
      <x:c r="K112" s="1827"/>
      <x:c r="L112" s="1827"/>
      <x:c r="M112" s="1828"/>
    </x:row>
    <x:row r="113" ht="24" customHeight="1">
      <x:c r="A113" s="1822" t="s">
        <x:v>232</x:v>
      </x:c>
      <x:c r="B113" s="1821" t="s">
        <x:v>233</x:v>
      </x:c>
      <x:c r="C113" s="1500" t="s">
        <x:v>152</x:v>
      </x:c>
      <x:c r="D113" s="1538">
        <x:v>163.5</x:v>
      </x:c>
      <x:c r="E113" s="1541">
        <x:v>29.91</x:v>
      </x:c>
      <x:c r="F113" s="1541" t="n">
        <x:f>ROUND(D113*E113,2)</x:f>
        <x:v>4890.29</x:v>
      </x:c>
      <x:c r="G113" s="1544">
        <x:v>0</x:v>
      </x:c>
      <x:c r="H113" s="579">
        <x:v>0</x:v>
      </x:c>
      <x:c r="I113" s="1544" t="n">
        <x:f>G113+H113</x:f>
        <x:v>0</x:v>
      </x:c>
      <x:c r="J113" s="586">
        <x:v>0</x:v>
      </x:c>
      <x:c r="K113" s="586" t="n">
        <x:f>ROUND(H113*E113,2)</x:f>
        <x:v>0</x:v>
      </x:c>
      <x:c r="L113" s="586" t="n">
        <x:f>J113+K113</x:f>
        <x:v>0</x:v>
      </x:c>
      <x:c r="M113" s="1547" t="n">
        <x:f>IF(D113=0,0,I113/D113)</x:f>
        <x:v>0</x:v>
      </x:c>
    </x:row>
    <x:row r="114" ht="43" customHeight="1">
      <x:c r="A114" s="1824" t="s">
        <x:v>234</x:v>
      </x:c>
      <x:c r="B114" s="1823" t="s">
        <x:v>235</x:v>
      </x:c>
      <x:c r="C114" s="248" t="s">
        <x:v>152</x:v>
      </x:c>
      <x:c r="D114" s="1539">
        <x:v>710</x:v>
      </x:c>
      <x:c r="E114" s="1542">
        <x:v>3.58</x:v>
      </x:c>
      <x:c r="F114" s="1542" t="n">
        <x:f>ROUND(D114*E114,2)</x:f>
        <x:v>2541.8</x:v>
      </x:c>
      <x:c r="G114" s="1545">
        <x:v>0</x:v>
      </x:c>
      <x:c r="H114" s="579">
        <x:v>0</x:v>
      </x:c>
      <x:c r="I114" s="1545" t="n">
        <x:f>G114+H114</x:f>
        <x:v>0</x:v>
      </x:c>
      <x:c r="J114" s="586">
        <x:v>0</x:v>
      </x:c>
      <x:c r="K114" s="586" t="n">
        <x:f>ROUND(H114*E114,2)</x:f>
        <x:v>0</x:v>
      </x:c>
      <x:c r="L114" s="586" t="n">
        <x:f>J114+K114</x:f>
        <x:v>0</x:v>
      </x:c>
      <x:c r="M114" s="1548" t="n">
        <x:f>IF(D114=0,0,I114/D114)</x:f>
        <x:v>0</x:v>
      </x:c>
    </x:row>
    <x:row r="115" ht="43" customHeight="1">
      <x:c r="A115" s="1822" t="s">
        <x:v>236</x:v>
      </x:c>
      <x:c r="B115" s="1821" t="s">
        <x:v>237</x:v>
      </x:c>
      <x:c r="C115" s="1500" t="s">
        <x:v>152</x:v>
      </x:c>
      <x:c r="D115" s="1538">
        <x:v>1210</x:v>
      </x:c>
      <x:c r="E115" s="1541">
        <x:v>5.16</x:v>
      </x:c>
      <x:c r="F115" s="1541" t="n">
        <x:f>ROUND(D115*E115,2)</x:f>
        <x:v>6243.6</x:v>
      </x:c>
      <x:c r="G115" s="1544">
        <x:v>0</x:v>
      </x:c>
      <x:c r="H115" s="579">
        <x:v>0</x:v>
      </x:c>
      <x:c r="I115" s="1544" t="n">
        <x:f>G115+H115</x:f>
        <x:v>0</x:v>
      </x:c>
      <x:c r="J115" s="586">
        <x:v>0</x:v>
      </x:c>
      <x:c r="K115" s="586" t="n">
        <x:f>ROUND(H115*E115,2)</x:f>
        <x:v>0</x:v>
      </x:c>
      <x:c r="L115" s="586" t="n">
        <x:f>J115+K115</x:f>
        <x:v>0</x:v>
      </x:c>
      <x:c r="M115" s="1547" t="n">
        <x:f>IF(D115=0,0,I115/D115)</x:f>
        <x:v>0</x:v>
      </x:c>
    </x:row>
    <x:row r="116" ht="31" customHeight="1">
      <x:c r="A116" s="1824" t="s">
        <x:v>238</x:v>
      </x:c>
      <x:c r="B116" s="1823" t="s">
        <x:v>239</x:v>
      </x:c>
      <x:c r="C116" s="248" t="s">
        <x:v>152</x:v>
      </x:c>
      <x:c r="D116" s="1539">
        <x:v>58.3</x:v>
      </x:c>
      <x:c r="E116" s="1542">
        <x:v>7.95</x:v>
      </x:c>
      <x:c r="F116" s="1542" t="n">
        <x:f>ROUND(D116*E116,2)</x:f>
        <x:v>463.49</x:v>
      </x:c>
      <x:c r="G116" s="1545">
        <x:v>0</x:v>
      </x:c>
      <x:c r="H116" s="579">
        <x:v>0</x:v>
      </x:c>
      <x:c r="I116" s="1545" t="n">
        <x:f>G116+H116</x:f>
        <x:v>0</x:v>
      </x:c>
      <x:c r="J116" s="586">
        <x:v>0</x:v>
      </x:c>
      <x:c r="K116" s="586" t="n">
        <x:f>ROUND(H116*E116,2)</x:f>
        <x:v>0</x:v>
      </x:c>
      <x:c r="L116" s="586" t="n">
        <x:f>J116+K116</x:f>
        <x:v>0</x:v>
      </x:c>
      <x:c r="M116" s="1548" t="n">
        <x:f>IF(D116=0,0,I116/D116)</x:f>
        <x:v>0</x:v>
      </x:c>
    </x:row>
    <x:row r="117" ht="31" customHeight="1">
      <x:c r="A117" s="1822" t="s">
        <x:v>240</x:v>
      </x:c>
      <x:c r="B117" s="1821" t="s">
        <x:v>241</x:v>
      </x:c>
      <x:c r="C117" s="1500" t="s">
        <x:v>152</x:v>
      </x:c>
      <x:c r="D117" s="1538">
        <x:v>108</x:v>
      </x:c>
      <x:c r="E117" s="1541">
        <x:v>11.09</x:v>
      </x:c>
      <x:c r="F117" s="1541" t="n">
        <x:f>ROUND(D117*E117,2)</x:f>
        <x:v>1197.72</x:v>
      </x:c>
      <x:c r="G117" s="1544">
        <x:v>0</x:v>
      </x:c>
      <x:c r="H117" s="579">
        <x:v>0</x:v>
      </x:c>
      <x:c r="I117" s="1544" t="n">
        <x:f>G117+H117</x:f>
        <x:v>0</x:v>
      </x:c>
      <x:c r="J117" s="586">
        <x:v>0</x:v>
      </x:c>
      <x:c r="K117" s="586" t="n">
        <x:f>ROUND(H117*E117,2)</x:f>
        <x:v>0</x:v>
      </x:c>
      <x:c r="L117" s="586" t="n">
        <x:f>J117+K117</x:f>
        <x:v>0</x:v>
      </x:c>
      <x:c r="M117" s="1547" t="n">
        <x:f>IF(D117=0,0,I117/D117)</x:f>
        <x:v>0</x:v>
      </x:c>
    </x:row>
    <x:row r="118" ht="23" customHeight="1">
      <x:c r="A118" s="538" t="s">
        <x:v>242</x:v>
      </x:c>
      <x:c r="B118" s="539" t="s">
        <x:v>243</x:v>
      </x:c>
      <x:c r="C118" s="1825"/>
      <x:c r="D118" s="1826"/>
      <x:c r="E118" s="1827"/>
      <x:c r="F118" s="1827"/>
      <x:c r="G118" s="1826"/>
      <x:c r="H118" s="1826"/>
      <x:c r="I118" s="1826"/>
      <x:c r="J118" s="1827"/>
      <x:c r="K118" s="1827"/>
      <x:c r="L118" s="1827"/>
      <x:c r="M118" s="1828"/>
    </x:row>
    <x:row r="119" ht="43" customHeight="1">
      <x:c r="A119" s="1824" t="s">
        <x:v>244</x:v>
      </x:c>
      <x:c r="B119" s="1823" t="s">
        <x:v>245</x:v>
      </x:c>
      <x:c r="C119" s="248" t="s">
        <x:v>73</x:v>
      </x:c>
      <x:c r="D119" s="1539">
        <x:v>3</x:v>
      </x:c>
      <x:c r="E119" s="1542">
        <x:v>601.6</x:v>
      </x:c>
      <x:c r="F119" s="1542" t="n">
        <x:f>ROUND(D119*E119,2)</x:f>
        <x:v>1804.8</x:v>
      </x:c>
      <x:c r="G119" s="1545">
        <x:v>0</x:v>
      </x:c>
      <x:c r="H119" s="579">
        <x:v>0</x:v>
      </x:c>
      <x:c r="I119" s="1545" t="n">
        <x:f>G119+H119</x:f>
        <x:v>0</x:v>
      </x:c>
      <x:c r="J119" s="586">
        <x:v>0</x:v>
      </x:c>
      <x:c r="K119" s="586" t="n">
        <x:f>ROUND(H119*E119,2)</x:f>
        <x:v>0</x:v>
      </x:c>
      <x:c r="L119" s="586" t="n">
        <x:f>J119+K119</x:f>
        <x:v>0</x:v>
      </x:c>
      <x:c r="M119" s="1548" t="n">
        <x:f>IF(D119=0,0,I119/D119)</x:f>
        <x:v>0</x:v>
      </x:c>
    </x:row>
    <x:row r="120" ht="43" customHeight="1">
      <x:c r="A120" s="1822" t="s">
        <x:v>246</x:v>
      </x:c>
      <x:c r="B120" s="1821" t="s">
        <x:v>247</x:v>
      </x:c>
      <x:c r="C120" s="1500" t="s">
        <x:v>73</x:v>
      </x:c>
      <x:c r="D120" s="1538">
        <x:v>1</x:v>
      </x:c>
      <x:c r="E120" s="1541">
        <x:v>101.46</x:v>
      </x:c>
      <x:c r="F120" s="1541" t="n">
        <x:f>ROUND(D120*E120,2)</x:f>
        <x:v>101.46</x:v>
      </x:c>
      <x:c r="G120" s="1544">
        <x:v>0</x:v>
      </x:c>
      <x:c r="H120" s="579">
        <x:v>0</x:v>
      </x:c>
      <x:c r="I120" s="1544" t="n">
        <x:f>G120+H120</x:f>
        <x:v>0</x:v>
      </x:c>
      <x:c r="J120" s="586">
        <x:v>0</x:v>
      </x:c>
      <x:c r="K120" s="586" t="n">
        <x:f>ROUND(H120*E120,2)</x:f>
        <x:v>0</x:v>
      </x:c>
      <x:c r="L120" s="586" t="n">
        <x:f>J120+K120</x:f>
        <x:v>0</x:v>
      </x:c>
      <x:c r="M120" s="1547" t="n">
        <x:f>IF(D120=0,0,I120/D120)</x:f>
        <x:v>0</x:v>
      </x:c>
    </x:row>
    <x:row r="121" ht="23" customHeight="1">
      <x:c r="A121" s="538" t="s">
        <x:v>248</x:v>
      </x:c>
      <x:c r="B121" s="539" t="s">
        <x:v>249</x:v>
      </x:c>
      <x:c r="C121" s="1825"/>
      <x:c r="D121" s="1826"/>
      <x:c r="E121" s="1827"/>
      <x:c r="F121" s="1827"/>
      <x:c r="G121" s="1826"/>
      <x:c r="H121" s="1826"/>
      <x:c r="I121" s="1826"/>
      <x:c r="J121" s="1827"/>
      <x:c r="K121" s="1827"/>
      <x:c r="L121" s="1827"/>
      <x:c r="M121" s="1828"/>
    </x:row>
    <x:row r="122" ht="31" customHeight="1">
      <x:c r="A122" s="1824" t="s">
        <x:v>250</x:v>
      </x:c>
      <x:c r="B122" s="1823" t="s">
        <x:v>251</x:v>
      </x:c>
      <x:c r="C122" s="248" t="s">
        <x:v>73</x:v>
      </x:c>
      <x:c r="D122" s="1539">
        <x:v>19</x:v>
      </x:c>
      <x:c r="E122" s="1542">
        <x:v>38.56</x:v>
      </x:c>
      <x:c r="F122" s="1542" t="n">
        <x:f>ROUND(D122*E122,2)</x:f>
        <x:v>732.64</x:v>
      </x:c>
      <x:c r="G122" s="1545">
        <x:v>0</x:v>
      </x:c>
      <x:c r="H122" s="579">
        <x:v>0</x:v>
      </x:c>
      <x:c r="I122" s="1545" t="n">
        <x:f>G122+H122</x:f>
        <x:v>0</x:v>
      </x:c>
      <x:c r="J122" s="586">
        <x:v>0</x:v>
      </x:c>
      <x:c r="K122" s="586" t="n">
        <x:f>ROUND(H122*E122,2)</x:f>
        <x:v>0</x:v>
      </x:c>
      <x:c r="L122" s="586" t="n">
        <x:f>J122+K122</x:f>
        <x:v>0</x:v>
      </x:c>
      <x:c r="M122" s="1548" t="n">
        <x:f>IF(D122=0,0,I122/D122)</x:f>
        <x:v>0</x:v>
      </x:c>
    </x:row>
    <x:row r="123" ht="31" customHeight="1">
      <x:c r="A123" s="1822" t="s">
        <x:v>252</x:v>
      </x:c>
      <x:c r="B123" s="1821" t="s">
        <x:v>253</x:v>
      </x:c>
      <x:c r="C123" s="1500" t="s">
        <x:v>73</x:v>
      </x:c>
      <x:c r="D123" s="1538">
        <x:v>2</x:v>
      </x:c>
      <x:c r="E123" s="1541">
        <x:v>58.87</x:v>
      </x:c>
      <x:c r="F123" s="1541" t="n">
        <x:f>ROUND(D123*E123,2)</x:f>
        <x:v>117.74</x:v>
      </x:c>
      <x:c r="G123" s="1544">
        <x:v>0</x:v>
      </x:c>
      <x:c r="H123" s="579">
        <x:v>0</x:v>
      </x:c>
      <x:c r="I123" s="1544" t="n">
        <x:f>G123+H123</x:f>
        <x:v>0</x:v>
      </x:c>
      <x:c r="J123" s="586">
        <x:v>0</x:v>
      </x:c>
      <x:c r="K123" s="586" t="n">
        <x:f>ROUND(H123*E123,2)</x:f>
        <x:v>0</x:v>
      </x:c>
      <x:c r="L123" s="586" t="n">
        <x:f>J123+K123</x:f>
        <x:v>0</x:v>
      </x:c>
      <x:c r="M123" s="1547" t="n">
        <x:f>IF(D123=0,0,I123/D123)</x:f>
        <x:v>0</x:v>
      </x:c>
    </x:row>
    <x:row r="124" ht="31" customHeight="1">
      <x:c r="A124" s="1824" t="s">
        <x:v>254</x:v>
      </x:c>
      <x:c r="B124" s="1823" t="s">
        <x:v>255</x:v>
      </x:c>
      <x:c r="C124" s="248" t="s">
        <x:v>73</x:v>
      </x:c>
      <x:c r="D124" s="1539">
        <x:v>4</x:v>
      </x:c>
      <x:c r="E124" s="1542">
        <x:v>64.09</x:v>
      </x:c>
      <x:c r="F124" s="1542" t="n">
        <x:f>ROUND(D124*E124,2)</x:f>
        <x:v>256.36</x:v>
      </x:c>
      <x:c r="G124" s="1545">
        <x:v>0</x:v>
      </x:c>
      <x:c r="H124" s="579">
        <x:v>0</x:v>
      </x:c>
      <x:c r="I124" s="1545" t="n">
        <x:f>G124+H124</x:f>
        <x:v>0</x:v>
      </x:c>
      <x:c r="J124" s="586">
        <x:v>0</x:v>
      </x:c>
      <x:c r="K124" s="586" t="n">
        <x:f>ROUND(H124*E124,2)</x:f>
        <x:v>0</x:v>
      </x:c>
      <x:c r="L124" s="586" t="n">
        <x:f>J124+K124</x:f>
        <x:v>0</x:v>
      </x:c>
      <x:c r="M124" s="1548" t="n">
        <x:f>IF(D124=0,0,I124/D124)</x:f>
        <x:v>0</x:v>
      </x:c>
    </x:row>
    <x:row r="125" ht="31" customHeight="1">
      <x:c r="A125" s="1822" t="s">
        <x:v>256</x:v>
      </x:c>
      <x:c r="B125" s="1821" t="s">
        <x:v>257</x:v>
      </x:c>
      <x:c r="C125" s="1500" t="s">
        <x:v>73</x:v>
      </x:c>
      <x:c r="D125" s="1538">
        <x:v>10</x:v>
      </x:c>
      <x:c r="E125" s="1541">
        <x:v>60.83</x:v>
      </x:c>
      <x:c r="F125" s="1541" t="n">
        <x:f>ROUND(D125*E125,2)</x:f>
        <x:v>608.3</x:v>
      </x:c>
      <x:c r="G125" s="1544">
        <x:v>0</x:v>
      </x:c>
      <x:c r="H125" s="579">
        <x:v>0</x:v>
      </x:c>
      <x:c r="I125" s="1544" t="n">
        <x:f>G125+H125</x:f>
        <x:v>0</x:v>
      </x:c>
      <x:c r="J125" s="586">
        <x:v>0</x:v>
      </x:c>
      <x:c r="K125" s="586" t="n">
        <x:f>ROUND(H125*E125,2)</x:f>
        <x:v>0</x:v>
      </x:c>
      <x:c r="L125" s="586" t="n">
        <x:f>J125+K125</x:f>
        <x:v>0</x:v>
      </x:c>
      <x:c r="M125" s="1547" t="n">
        <x:f>IF(D125=0,0,I125/D125)</x:f>
        <x:v>0</x:v>
      </x:c>
    </x:row>
    <x:row r="126" ht="31" customHeight="1">
      <x:c r="A126" s="1824" t="s">
        <x:v>258</x:v>
      </x:c>
      <x:c r="B126" s="1823" t="s">
        <x:v>259</x:v>
      </x:c>
      <x:c r="C126" s="248" t="s">
        <x:v>73</x:v>
      </x:c>
      <x:c r="D126" s="1539">
        <x:v>12</x:v>
      </x:c>
      <x:c r="E126" s="1542">
        <x:v>57.86</x:v>
      </x:c>
      <x:c r="F126" s="1542" t="n">
        <x:f>ROUND(D126*E126,2)</x:f>
        <x:v>694.32</x:v>
      </x:c>
      <x:c r="G126" s="1545">
        <x:v>0</x:v>
      </x:c>
      <x:c r="H126" s="579">
        <x:v>0</x:v>
      </x:c>
      <x:c r="I126" s="1545" t="n">
        <x:f>G126+H126</x:f>
        <x:v>0</x:v>
      </x:c>
      <x:c r="J126" s="586">
        <x:v>0</x:v>
      </x:c>
      <x:c r="K126" s="586" t="n">
        <x:f>ROUND(H126*E126,2)</x:f>
        <x:v>0</x:v>
      </x:c>
      <x:c r="L126" s="586" t="n">
        <x:f>J126+K126</x:f>
        <x:v>0</x:v>
      </x:c>
      <x:c r="M126" s="1548" t="n">
        <x:f>IF(D126=0,0,I126/D126)</x:f>
        <x:v>0</x:v>
      </x:c>
    </x:row>
    <x:row r="127" ht="31" customHeight="1">
      <x:c r="A127" s="1822" t="s">
        <x:v>260</x:v>
      </x:c>
      <x:c r="B127" s="1821" t="s">
        <x:v>261</x:v>
      </x:c>
      <x:c r="C127" s="1500" t="s">
        <x:v>73</x:v>
      </x:c>
      <x:c r="D127" s="1538">
        <x:v>11</x:v>
      </x:c>
      <x:c r="E127" s="1541">
        <x:v>45.32</x:v>
      </x:c>
      <x:c r="F127" s="1541" t="n">
        <x:f>ROUND(D127*E127,2)</x:f>
        <x:v>498.52</x:v>
      </x:c>
      <x:c r="G127" s="1544">
        <x:v>0</x:v>
      </x:c>
      <x:c r="H127" s="579">
        <x:v>0</x:v>
      </x:c>
      <x:c r="I127" s="1544" t="n">
        <x:f>G127+H127</x:f>
        <x:v>0</x:v>
      </x:c>
      <x:c r="J127" s="586">
        <x:v>0</x:v>
      </x:c>
      <x:c r="K127" s="586" t="n">
        <x:f>ROUND(H127*E127,2)</x:f>
        <x:v>0</x:v>
      </x:c>
      <x:c r="L127" s="586" t="n">
        <x:f>J127+K127</x:f>
        <x:v>0</x:v>
      </x:c>
      <x:c r="M127" s="1547" t="n">
        <x:f>IF(D127=0,0,I127/D127)</x:f>
        <x:v>0</x:v>
      </x:c>
    </x:row>
    <x:row r="128" ht="31" customHeight="1">
      <x:c r="A128" s="1824" t="s">
        <x:v>262</x:v>
      </x:c>
      <x:c r="B128" s="1823" t="s">
        <x:v>263</x:v>
      </x:c>
      <x:c r="C128" s="248" t="s">
        <x:v>73</x:v>
      </x:c>
      <x:c r="D128" s="1539">
        <x:v>41</x:v>
      </x:c>
      <x:c r="E128" s="1542">
        <x:v>40.5</x:v>
      </x:c>
      <x:c r="F128" s="1542" t="n">
        <x:f>ROUND(D128*E128,2)</x:f>
        <x:v>1660.5</x:v>
      </x:c>
      <x:c r="G128" s="1545">
        <x:v>0</x:v>
      </x:c>
      <x:c r="H128" s="579">
        <x:v>0</x:v>
      </x:c>
      <x:c r="I128" s="1545" t="n">
        <x:f>G128+H128</x:f>
        <x:v>0</x:v>
      </x:c>
      <x:c r="J128" s="586">
        <x:v>0</x:v>
      </x:c>
      <x:c r="K128" s="586" t="n">
        <x:f>ROUND(H128*E128,2)</x:f>
        <x:v>0</x:v>
      </x:c>
      <x:c r="L128" s="586" t="n">
        <x:f>J128+K128</x:f>
        <x:v>0</x:v>
      </x:c>
      <x:c r="M128" s="1548" t="n">
        <x:f>IF(D128=0,0,I128/D128)</x:f>
        <x:v>0</x:v>
      </x:c>
    </x:row>
    <x:row r="129" ht="23" customHeight="1">
      <x:c r="A129" s="538" t="s">
        <x:v>264</x:v>
      </x:c>
      <x:c r="B129" s="539" t="s">
        <x:v>265</x:v>
      </x:c>
      <x:c r="C129" s="1825"/>
      <x:c r="D129" s="1826"/>
      <x:c r="E129" s="1827"/>
      <x:c r="F129" s="1827"/>
      <x:c r="G129" s="1826"/>
      <x:c r="H129" s="1826"/>
      <x:c r="I129" s="1826"/>
      <x:c r="J129" s="1827"/>
      <x:c r="K129" s="1827"/>
      <x:c r="L129" s="1827"/>
      <x:c r="M129" s="1828"/>
    </x:row>
    <x:row r="130" ht="31" customHeight="1">
      <x:c r="A130" s="1822" t="s">
        <x:v>266</x:v>
      </x:c>
      <x:c r="B130" s="1821" t="s">
        <x:v>267</x:v>
      </x:c>
      <x:c r="C130" s="1500" t="s">
        <x:v>73</x:v>
      </x:c>
      <x:c r="D130" s="1538">
        <x:v>1</x:v>
      </x:c>
      <x:c r="E130" s="1541">
        <x:v>12.85</x:v>
      </x:c>
      <x:c r="F130" s="1541" t="n">
        <x:f>ROUND(D130*E130,2)</x:f>
        <x:v>12.85</x:v>
      </x:c>
      <x:c r="G130" s="1544">
        <x:v>0</x:v>
      </x:c>
      <x:c r="H130" s="579">
        <x:v>0</x:v>
      </x:c>
      <x:c r="I130" s="1544" t="n">
        <x:f>G130+H130</x:f>
        <x:v>0</x:v>
      </x:c>
      <x:c r="J130" s="586">
        <x:v>0</x:v>
      </x:c>
      <x:c r="K130" s="586" t="n">
        <x:f>ROUND(H130*E130,2)</x:f>
        <x:v>0</x:v>
      </x:c>
      <x:c r="L130" s="586" t="n">
        <x:f>J130+K130</x:f>
        <x:v>0</x:v>
      </x:c>
      <x:c r="M130" s="1547" t="n">
        <x:f>IF(D130=0,0,I130/D130)</x:f>
        <x:v>0</x:v>
      </x:c>
    </x:row>
    <x:row r="131" ht="31" customHeight="1">
      <x:c r="A131" s="1824" t="s">
        <x:v>268</x:v>
      </x:c>
      <x:c r="B131" s="1823" t="s">
        <x:v>269</x:v>
      </x:c>
      <x:c r="C131" s="248" t="s">
        <x:v>73</x:v>
      </x:c>
      <x:c r="D131" s="1539">
        <x:v>5</x:v>
      </x:c>
      <x:c r="E131" s="1542">
        <x:v>12.85</x:v>
      </x:c>
      <x:c r="F131" s="1542" t="n">
        <x:f>ROUND(D131*E131,2)</x:f>
        <x:v>64.25</x:v>
      </x:c>
      <x:c r="G131" s="1545">
        <x:v>0</x:v>
      </x:c>
      <x:c r="H131" s="579">
        <x:v>0</x:v>
      </x:c>
      <x:c r="I131" s="1545" t="n">
        <x:f>G131+H131</x:f>
        <x:v>0</x:v>
      </x:c>
      <x:c r="J131" s="586">
        <x:v>0</x:v>
      </x:c>
      <x:c r="K131" s="586" t="n">
        <x:f>ROUND(H131*E131,2)</x:f>
        <x:v>0</x:v>
      </x:c>
      <x:c r="L131" s="586" t="n">
        <x:f>J131+K131</x:f>
        <x:v>0</x:v>
      </x:c>
      <x:c r="M131" s="1548" t="n">
        <x:f>IF(D131=0,0,I131/D131)</x:f>
        <x:v>0</x:v>
      </x:c>
    </x:row>
    <x:row r="132" ht="31" customHeight="1">
      <x:c r="A132" s="1822" t="s">
        <x:v>270</x:v>
      </x:c>
      <x:c r="B132" s="1821" t="s">
        <x:v>271</x:v>
      </x:c>
      <x:c r="C132" s="1500" t="s">
        <x:v>73</x:v>
      </x:c>
      <x:c r="D132" s="1538">
        <x:v>14</x:v>
      </x:c>
      <x:c r="E132" s="1541">
        <x:v>13.99</x:v>
      </x:c>
      <x:c r="F132" s="1541" t="n">
        <x:f>ROUND(D132*E132,2)</x:f>
        <x:v>195.86</x:v>
      </x:c>
      <x:c r="G132" s="1544">
        <x:v>0</x:v>
      </x:c>
      <x:c r="H132" s="579">
        <x:v>0</x:v>
      </x:c>
      <x:c r="I132" s="1544" t="n">
        <x:f>G132+H132</x:f>
        <x:v>0</x:v>
      </x:c>
      <x:c r="J132" s="586">
        <x:v>0</x:v>
      </x:c>
      <x:c r="K132" s="586" t="n">
        <x:f>ROUND(H132*E132,2)</x:f>
        <x:v>0</x:v>
      </x:c>
      <x:c r="L132" s="586" t="n">
        <x:f>J132+K132</x:f>
        <x:v>0</x:v>
      </x:c>
      <x:c r="M132" s="1547" t="n">
        <x:f>IF(D132=0,0,I132/D132)</x:f>
        <x:v>0</x:v>
      </x:c>
    </x:row>
    <x:row r="133" ht="31" customHeight="1">
      <x:c r="A133" s="1824" t="s">
        <x:v>272</x:v>
      </x:c>
      <x:c r="B133" s="1823" t="s">
        <x:v>273</x:v>
      </x:c>
      <x:c r="C133" s="248" t="s">
        <x:v>73</x:v>
      </x:c>
      <x:c r="D133" s="1539">
        <x:v>3</x:v>
      </x:c>
      <x:c r="E133" s="1542">
        <x:v>24.11</x:v>
      </x:c>
      <x:c r="F133" s="1542" t="n">
        <x:f>ROUND(D133*E133,2)</x:f>
        <x:v>72.33</x:v>
      </x:c>
      <x:c r="G133" s="1545">
        <x:v>0</x:v>
      </x:c>
      <x:c r="H133" s="579">
        <x:v>0</x:v>
      </x:c>
      <x:c r="I133" s="1545" t="n">
        <x:f>G133+H133</x:f>
        <x:v>0</x:v>
      </x:c>
      <x:c r="J133" s="586">
        <x:v>0</x:v>
      </x:c>
      <x:c r="K133" s="586" t="n">
        <x:f>ROUND(H133*E133,2)</x:f>
        <x:v>0</x:v>
      </x:c>
      <x:c r="L133" s="586" t="n">
        <x:f>J133+K133</x:f>
        <x:v>0</x:v>
      </x:c>
      <x:c r="M133" s="1548" t="n">
        <x:f>IF(D133=0,0,I133/D133)</x:f>
        <x:v>0</x:v>
      </x:c>
    </x:row>
    <x:row r="134" ht="31" customHeight="1">
      <x:c r="A134" s="1822" t="s">
        <x:v>274</x:v>
      </x:c>
      <x:c r="B134" s="1821" t="s">
        <x:v>275</x:v>
      </x:c>
      <x:c r="C134" s="1500" t="s">
        <x:v>73</x:v>
      </x:c>
      <x:c r="D134" s="1538">
        <x:v>1</x:v>
      </x:c>
      <x:c r="E134" s="1541">
        <x:v>122.04</x:v>
      </x:c>
      <x:c r="F134" s="1541" t="n">
        <x:f>ROUND(D134*E134,2)</x:f>
        <x:v>122.04</x:v>
      </x:c>
      <x:c r="G134" s="1544">
        <x:v>0</x:v>
      </x:c>
      <x:c r="H134" s="579">
        <x:v>0</x:v>
      </x:c>
      <x:c r="I134" s="1544" t="n">
        <x:f>G134+H134</x:f>
        <x:v>0</x:v>
      </x:c>
      <x:c r="J134" s="586">
        <x:v>0</x:v>
      </x:c>
      <x:c r="K134" s="586" t="n">
        <x:f>ROUND(H134*E134,2)</x:f>
        <x:v>0</x:v>
      </x:c>
      <x:c r="L134" s="586" t="n">
        <x:f>J134+K134</x:f>
        <x:v>0</x:v>
      </x:c>
      <x:c r="M134" s="1547" t="n">
        <x:f>IF(D134=0,0,I134/D134)</x:f>
        <x:v>0</x:v>
      </x:c>
    </x:row>
    <x:row r="135" ht="31" customHeight="1">
      <x:c r="A135" s="1824" t="s">
        <x:v>276</x:v>
      </x:c>
      <x:c r="B135" s="1823" t="s">
        <x:v>277</x:v>
      </x:c>
      <x:c r="C135" s="248" t="s">
        <x:v>73</x:v>
      </x:c>
      <x:c r="D135" s="1539">
        <x:v>2</x:v>
      </x:c>
      <x:c r="E135" s="1542">
        <x:v>154.2</x:v>
      </x:c>
      <x:c r="F135" s="1542" t="n">
        <x:f>ROUND(D135*E135,2)</x:f>
        <x:v>308.4</x:v>
      </x:c>
      <x:c r="G135" s="1545">
        <x:v>0</x:v>
      </x:c>
      <x:c r="H135" s="579">
        <x:v>0</x:v>
      </x:c>
      <x:c r="I135" s="1545" t="n">
        <x:f>G135+H135</x:f>
        <x:v>0</x:v>
      </x:c>
      <x:c r="J135" s="586">
        <x:v>0</x:v>
      </x:c>
      <x:c r="K135" s="586" t="n">
        <x:f>ROUND(H135*E135,2)</x:f>
        <x:v>0</x:v>
      </x:c>
      <x:c r="L135" s="586" t="n">
        <x:f>J135+K135</x:f>
        <x:v>0</x:v>
      </x:c>
      <x:c r="M135" s="1548" t="n">
        <x:f>IF(D135=0,0,I135/D135)</x:f>
        <x:v>0</x:v>
      </x:c>
    </x:row>
    <x:row r="136" ht="23" customHeight="1">
      <x:c r="A136" s="538" t="s">
        <x:v>278</x:v>
      </x:c>
      <x:c r="B136" s="539" t="s">
        <x:v>279</x:v>
      </x:c>
      <x:c r="C136" s="1825"/>
      <x:c r="D136" s="1826"/>
      <x:c r="E136" s="1827"/>
      <x:c r="F136" s="1827"/>
      <x:c r="G136" s="1826"/>
      <x:c r="H136" s="1826"/>
      <x:c r="I136" s="1826"/>
      <x:c r="J136" s="1827"/>
      <x:c r="K136" s="1827"/>
      <x:c r="L136" s="1827"/>
      <x:c r="M136" s="1828"/>
    </x:row>
    <x:row r="137" ht="43" customHeight="1">
      <x:c r="A137" s="1822" t="s">
        <x:v>280</x:v>
      </x:c>
      <x:c r="B137" s="1821" t="s">
        <x:v>216</x:v>
      </x:c>
      <x:c r="C137" s="1500" t="s">
        <x:v>152</x:v>
      </x:c>
      <x:c r="D137" s="1538">
        <x:v>64.5</x:v>
      </x:c>
      <x:c r="E137" s="1541">
        <x:v>27.12</x:v>
      </x:c>
      <x:c r="F137" s="1541" t="n">
        <x:f>ROUND(D137*E137,2)</x:f>
        <x:v>1749.24</x:v>
      </x:c>
      <x:c r="G137" s="1544">
        <x:v>0</x:v>
      </x:c>
      <x:c r="H137" s="579">
        <x:v>0</x:v>
      </x:c>
      <x:c r="I137" s="1544" t="n">
        <x:f>G137+H137</x:f>
        <x:v>0</x:v>
      </x:c>
      <x:c r="J137" s="586">
        <x:v>0</x:v>
      </x:c>
      <x:c r="K137" s="586" t="n">
        <x:f>ROUND(H137*E137,2)</x:f>
        <x:v>0</x:v>
      </x:c>
      <x:c r="L137" s="586" t="n">
        <x:f>J137+K137</x:f>
        <x:v>0</x:v>
      </x:c>
      <x:c r="M137" s="1547" t="n">
        <x:f>IF(D137=0,0,I137/D137)</x:f>
        <x:v>0</x:v>
      </x:c>
    </x:row>
    <x:row r="138" ht="43" customHeight="1">
      <x:c r="A138" s="1824" t="s">
        <x:v>281</x:v>
      </x:c>
      <x:c r="B138" s="1823" t="s">
        <x:v>282</x:v>
      </x:c>
      <x:c r="C138" s="248" t="s">
        <x:v>152</x:v>
      </x:c>
      <x:c r="D138" s="1539">
        <x:v>12.6</x:v>
      </x:c>
      <x:c r="E138" s="1542">
        <x:v>16.44</x:v>
      </x:c>
      <x:c r="F138" s="1542" t="n">
        <x:f>ROUND(D138*E138,2)</x:f>
        <x:v>207.14</x:v>
      </x:c>
      <x:c r="G138" s="1545">
        <x:v>0</x:v>
      </x:c>
      <x:c r="H138" s="579">
        <x:v>0</x:v>
      </x:c>
      <x:c r="I138" s="1545" t="n">
        <x:f>G138+H138</x:f>
        <x:v>0</x:v>
      </x:c>
      <x:c r="J138" s="586">
        <x:v>0</x:v>
      </x:c>
      <x:c r="K138" s="586" t="n">
        <x:f>ROUND(H138*E138,2)</x:f>
        <x:v>0</x:v>
      </x:c>
      <x:c r="L138" s="586" t="n">
        <x:f>J138+K138</x:f>
        <x:v>0</x:v>
      </x:c>
      <x:c r="M138" s="1548" t="n">
        <x:f>IF(D138=0,0,I138/D138)</x:f>
        <x:v>0</x:v>
      </x:c>
    </x:row>
    <x:row r="139" ht="43" customHeight="1">
      <x:c r="A139" s="1822" t="s">
        <x:v>283</x:v>
      </x:c>
      <x:c r="B139" s="1821" t="s">
        <x:v>284</x:v>
      </x:c>
      <x:c r="C139" s="1500" t="s">
        <x:v>152</x:v>
      </x:c>
      <x:c r="D139" s="1538">
        <x:v>215</x:v>
      </x:c>
      <x:c r="E139" s="1541">
        <x:v>23.14</x:v>
      </x:c>
      <x:c r="F139" s="1541" t="n">
        <x:f>ROUND(D139*E139,2)</x:f>
        <x:v>4975.1</x:v>
      </x:c>
      <x:c r="G139" s="1544">
        <x:v>0</x:v>
      </x:c>
      <x:c r="H139" s="579">
        <x:v>0</x:v>
      </x:c>
      <x:c r="I139" s="1544" t="n">
        <x:f>G139+H139</x:f>
        <x:v>0</x:v>
      </x:c>
      <x:c r="J139" s="586">
        <x:v>0</x:v>
      </x:c>
      <x:c r="K139" s="586" t="n">
        <x:f>ROUND(H139*E139,2)</x:f>
        <x:v>0</x:v>
      </x:c>
      <x:c r="L139" s="586" t="n">
        <x:f>J139+K139</x:f>
        <x:v>0</x:v>
      </x:c>
      <x:c r="M139" s="1547" t="n">
        <x:f>IF(D139=0,0,I139/D139)</x:f>
        <x:v>0</x:v>
      </x:c>
    </x:row>
    <x:row r="140" ht="43" customHeight="1">
      <x:c r="A140" s="1824" t="s">
        <x:v>285</x:v>
      </x:c>
      <x:c r="B140" s="1823" t="s">
        <x:v>286</x:v>
      </x:c>
      <x:c r="C140" s="248" t="s">
        <x:v>152</x:v>
      </x:c>
      <x:c r="D140" s="1539">
        <x:v>180</x:v>
      </x:c>
      <x:c r="E140" s="1542">
        <x:v>12.63</x:v>
      </x:c>
      <x:c r="F140" s="1542" t="n">
        <x:f>ROUND(D140*E140,2)</x:f>
        <x:v>2273.4</x:v>
      </x:c>
      <x:c r="G140" s="1545">
        <x:v>0</x:v>
      </x:c>
      <x:c r="H140" s="579">
        <x:v>0</x:v>
      </x:c>
      <x:c r="I140" s="1545" t="n">
        <x:f>G140+H140</x:f>
        <x:v>0</x:v>
      </x:c>
      <x:c r="J140" s="586">
        <x:v>0</x:v>
      </x:c>
      <x:c r="K140" s="586" t="n">
        <x:f>ROUND(H140*E140,2)</x:f>
        <x:v>0</x:v>
      </x:c>
      <x:c r="L140" s="586" t="n">
        <x:f>J140+K140</x:f>
        <x:v>0</x:v>
      </x:c>
      <x:c r="M140" s="1548" t="n">
        <x:f>IF(D140=0,0,I140/D140)</x:f>
        <x:v>0</x:v>
      </x:c>
    </x:row>
    <x:row r="141" ht="43" customHeight="1">
      <x:c r="A141" s="1822" t="s">
        <x:v>287</x:v>
      </x:c>
      <x:c r="B141" s="1821" t="s">
        <x:v>288</x:v>
      </x:c>
      <x:c r="C141" s="1500" t="s">
        <x:v>152</x:v>
      </x:c>
      <x:c r="D141" s="1538">
        <x:v>22</x:v>
      </x:c>
      <x:c r="E141" s="1541">
        <x:v>12.63</x:v>
      </x:c>
      <x:c r="F141" s="1541" t="n">
        <x:f>ROUND(D141*E141,2)</x:f>
        <x:v>277.86</x:v>
      </x:c>
      <x:c r="G141" s="1544">
        <x:v>0</x:v>
      </x:c>
      <x:c r="H141" s="579">
        <x:v>0</x:v>
      </x:c>
      <x:c r="I141" s="1544" t="n">
        <x:f>G141+H141</x:f>
        <x:v>0</x:v>
      </x:c>
      <x:c r="J141" s="586">
        <x:v>0</x:v>
      </x:c>
      <x:c r="K141" s="586" t="n">
        <x:f>ROUND(H141*E141,2)</x:f>
        <x:v>0</x:v>
      </x:c>
      <x:c r="L141" s="586" t="n">
        <x:f>J141+K141</x:f>
        <x:v>0</x:v>
      </x:c>
      <x:c r="M141" s="1547" t="n">
        <x:f>IF(D141=0,0,I141/D141)</x:f>
        <x:v>0</x:v>
      </x:c>
    </x:row>
    <x:row r="142" ht="31" customHeight="1">
      <x:c r="A142" s="1824" t="s">
        <x:v>289</x:v>
      </x:c>
      <x:c r="B142" s="1823" t="s">
        <x:v>290</x:v>
      </x:c>
      <x:c r="C142" s="248" t="s">
        <x:v>152</x:v>
      </x:c>
      <x:c r="D142" s="1539">
        <x:v>23</x:v>
      </x:c>
      <x:c r="E142" s="1542">
        <x:v>29.2</x:v>
      </x:c>
      <x:c r="F142" s="1542" t="n">
        <x:f>ROUND(D142*E142,2)</x:f>
        <x:v>671.6</x:v>
      </x:c>
      <x:c r="G142" s="1545">
        <x:v>0</x:v>
      </x:c>
      <x:c r="H142" s="579">
        <x:v>0</x:v>
      </x:c>
      <x:c r="I142" s="1545" t="n">
        <x:f>G142+H142</x:f>
        <x:v>0</x:v>
      </x:c>
      <x:c r="J142" s="586">
        <x:v>0</x:v>
      </x:c>
      <x:c r="K142" s="586" t="n">
        <x:f>ROUND(H142*E142,2)</x:f>
        <x:v>0</x:v>
      </x:c>
      <x:c r="L142" s="586" t="n">
        <x:f>J142+K142</x:f>
        <x:v>0</x:v>
      </x:c>
      <x:c r="M142" s="1548" t="n">
        <x:f>IF(D142=0,0,I142/D142)</x:f>
        <x:v>0</x:v>
      </x:c>
    </x:row>
    <x:row r="143" ht="23" customHeight="1">
      <x:c r="A143" s="538" t="s">
        <x:v>291</x:v>
      </x:c>
      <x:c r="B143" s="539" t="s">
        <x:v>292</x:v>
      </x:c>
      <x:c r="C143" s="1825"/>
      <x:c r="D143" s="1826"/>
      <x:c r="E143" s="1827"/>
      <x:c r="F143" s="1827"/>
      <x:c r="G143" s="1826"/>
      <x:c r="H143" s="1826"/>
      <x:c r="I143" s="1826"/>
      <x:c r="J143" s="1827"/>
      <x:c r="K143" s="1827"/>
      <x:c r="L143" s="1827"/>
      <x:c r="M143" s="1828"/>
    </x:row>
    <x:row r="144" ht="43" customHeight="1">
      <x:c r="A144" s="1822" t="s">
        <x:v>293</x:v>
      </x:c>
      <x:c r="B144" s="1821" t="s">
        <x:v>294</x:v>
      </x:c>
      <x:c r="C144" s="1500" t="s">
        <x:v>73</x:v>
      </x:c>
      <x:c r="D144" s="1538">
        <x:v>2</x:v>
      </x:c>
      <x:c r="E144" s="1541">
        <x:v>112.61</x:v>
      </x:c>
      <x:c r="F144" s="1541" t="n">
        <x:f>ROUND(D144*E144,2)</x:f>
        <x:v>225.22</x:v>
      </x:c>
      <x:c r="G144" s="1544">
        <x:v>0</x:v>
      </x:c>
      <x:c r="H144" s="579">
        <x:v>0</x:v>
      </x:c>
      <x:c r="I144" s="1544" t="n">
        <x:f>G144+H144</x:f>
        <x:v>0</x:v>
      </x:c>
      <x:c r="J144" s="586">
        <x:v>0</x:v>
      </x:c>
      <x:c r="K144" s="586" t="n">
        <x:f>ROUND(H144*E144,2)</x:f>
        <x:v>0</x:v>
      </x:c>
      <x:c r="L144" s="586" t="n">
        <x:f>J144+K144</x:f>
        <x:v>0</x:v>
      </x:c>
      <x:c r="M144" s="1547" t="n">
        <x:f>IF(D144=0,0,I144/D144)</x:f>
        <x:v>0</x:v>
      </x:c>
    </x:row>
    <x:row r="145" ht="31" customHeight="1">
      <x:c r="A145" s="1824" t="s">
        <x:v>295</x:v>
      </x:c>
      <x:c r="B145" s="1823" t="s">
        <x:v>296</x:v>
      </x:c>
      <x:c r="C145" s="248" t="s">
        <x:v>73</x:v>
      </x:c>
      <x:c r="D145" s="1539">
        <x:v>20</x:v>
      </x:c>
      <x:c r="E145" s="1542">
        <x:v>59.69</x:v>
      </x:c>
      <x:c r="F145" s="1542" t="n">
        <x:f>ROUND(D145*E145,2)</x:f>
        <x:v>1193.8</x:v>
      </x:c>
      <x:c r="G145" s="1545">
        <x:v>0</x:v>
      </x:c>
      <x:c r="H145" s="579">
        <x:v>0</x:v>
      </x:c>
      <x:c r="I145" s="1545" t="n">
        <x:f>G145+H145</x:f>
        <x:v>0</x:v>
      </x:c>
      <x:c r="J145" s="586">
        <x:v>0</x:v>
      </x:c>
      <x:c r="K145" s="586" t="n">
        <x:f>ROUND(H145*E145,2)</x:f>
        <x:v>0</x:v>
      </x:c>
      <x:c r="L145" s="586" t="n">
        <x:f>J145+K145</x:f>
        <x:v>0</x:v>
      </x:c>
      <x:c r="M145" s="1548" t="n">
        <x:f>IF(D145=0,0,I145/D145)</x:f>
        <x:v>0</x:v>
      </x:c>
    </x:row>
    <x:row r="146" ht="31" customHeight="1">
      <x:c r="A146" s="1822" t="s">
        <x:v>297</x:v>
      </x:c>
      <x:c r="B146" s="1821" t="s">
        <x:v>298</x:v>
      </x:c>
      <x:c r="C146" s="1500" t="s">
        <x:v>73</x:v>
      </x:c>
      <x:c r="D146" s="1538">
        <x:v>2</x:v>
      </x:c>
      <x:c r="E146" s="1541">
        <x:v>440.14</x:v>
      </x:c>
      <x:c r="F146" s="1541" t="n">
        <x:f>ROUND(D146*E146,2)</x:f>
        <x:v>880.28</x:v>
      </x:c>
      <x:c r="G146" s="1544">
        <x:v>0</x:v>
      </x:c>
      <x:c r="H146" s="579">
        <x:v>0</x:v>
      </x:c>
      <x:c r="I146" s="1544" t="n">
        <x:f>G146+H146</x:f>
        <x:v>0</x:v>
      </x:c>
      <x:c r="J146" s="586">
        <x:v>0</x:v>
      </x:c>
      <x:c r="K146" s="586" t="n">
        <x:f>ROUND(H146*E146,2)</x:f>
        <x:v>0</x:v>
      </x:c>
      <x:c r="L146" s="586" t="n">
        <x:f>J146+K146</x:f>
        <x:v>0</x:v>
      </x:c>
      <x:c r="M146" s="1547" t="n">
        <x:f>IF(D146=0,0,I146/D146)</x:f>
        <x:v>0</x:v>
      </x:c>
    </x:row>
    <x:row r="147" ht="31" customHeight="1">
      <x:c r="A147" s="1824" t="s">
        <x:v>299</x:v>
      </x:c>
      <x:c r="B147" s="1823" t="s">
        <x:v>300</x:v>
      </x:c>
      <x:c r="C147" s="248" t="s">
        <x:v>73</x:v>
      </x:c>
      <x:c r="D147" s="1539">
        <x:v>15</x:v>
      </x:c>
      <x:c r="E147" s="1542">
        <x:v>32.27</x:v>
      </x:c>
      <x:c r="F147" s="1542" t="n">
        <x:f>ROUND(D147*E147,2)</x:f>
        <x:v>484.05</x:v>
      </x:c>
      <x:c r="G147" s="1545">
        <x:v>0</x:v>
      </x:c>
      <x:c r="H147" s="579">
        <x:v>0</x:v>
      </x:c>
      <x:c r="I147" s="1545" t="n">
        <x:f>G147+H147</x:f>
        <x:v>0</x:v>
      </x:c>
      <x:c r="J147" s="586">
        <x:v>0</x:v>
      </x:c>
      <x:c r="K147" s="586" t="n">
        <x:f>ROUND(H147*E147,2)</x:f>
        <x:v>0</x:v>
      </x:c>
      <x:c r="L147" s="586" t="n">
        <x:f>J147+K147</x:f>
        <x:v>0</x:v>
      </x:c>
      <x:c r="M147" s="1548" t="n">
        <x:f>IF(D147=0,0,I147/D147)</x:f>
        <x:v>0</x:v>
      </x:c>
    </x:row>
    <x:row r="148" ht="23" customHeight="1">
      <x:c r="A148" s="538" t="s">
        <x:v>301</x:v>
      </x:c>
      <x:c r="B148" s="539" t="s">
        <x:v>302</x:v>
      </x:c>
      <x:c r="C148" s="1825"/>
      <x:c r="D148" s="1826"/>
      <x:c r="E148" s="1827"/>
      <x:c r="F148" s="1827"/>
      <x:c r="G148" s="1826"/>
      <x:c r="H148" s="1826"/>
      <x:c r="I148" s="1826"/>
      <x:c r="J148" s="1827"/>
      <x:c r="K148" s="1827"/>
      <x:c r="L148" s="1827"/>
      <x:c r="M148" s="1828"/>
    </x:row>
    <x:row r="149" ht="31" customHeight="1">
      <x:c r="A149" s="1822" t="s">
        <x:v>303</x:v>
      </x:c>
      <x:c r="B149" s="1821" t="s">
        <x:v>304</x:v>
      </x:c>
      <x:c r="C149" s="1500" t="s">
        <x:v>73</x:v>
      </x:c>
      <x:c r="D149" s="1538">
        <x:v>1</x:v>
      </x:c>
      <x:c r="E149" s="1541">
        <x:v>3286.08</x:v>
      </x:c>
      <x:c r="F149" s="1541" t="n">
        <x:f>ROUND(D149*E149,2)</x:f>
        <x:v>3286.08</x:v>
      </x:c>
      <x:c r="G149" s="1544">
        <x:v>0</x:v>
      </x:c>
      <x:c r="H149" s="579">
        <x:v>0</x:v>
      </x:c>
      <x:c r="I149" s="1544" t="n">
        <x:f>G149+H149</x:f>
        <x:v>0</x:v>
      </x:c>
      <x:c r="J149" s="586">
        <x:v>0</x:v>
      </x:c>
      <x:c r="K149" s="586" t="n">
        <x:f>ROUND(H149*E149,2)</x:f>
        <x:v>0</x:v>
      </x:c>
      <x:c r="L149" s="586" t="n">
        <x:f>J149+K149</x:f>
        <x:v>0</x:v>
      </x:c>
      <x:c r="M149" s="1547" t="n">
        <x:f>IF(D149=0,0,I149/D149)</x:f>
        <x:v>0</x:v>
      </x:c>
    </x:row>
    <x:row r="150" ht="43" customHeight="1">
      <x:c r="A150" s="1824" t="s">
        <x:v>305</x:v>
      </x:c>
      <x:c r="B150" s="1823" t="s">
        <x:v>306</x:v>
      </x:c>
      <x:c r="C150" s="248" t="s">
        <x:v>73</x:v>
      </x:c>
      <x:c r="D150" s="1539">
        <x:v>1</x:v>
      </x:c>
      <x:c r="E150" s="1542">
        <x:v>613.77</x:v>
      </x:c>
      <x:c r="F150" s="1542" t="n">
        <x:f>ROUND(D150*E150,2)</x:f>
        <x:v>613.77</x:v>
      </x:c>
      <x:c r="G150" s="1545">
        <x:v>0</x:v>
      </x:c>
      <x:c r="H150" s="579">
        <x:v>0</x:v>
      </x:c>
      <x:c r="I150" s="1545" t="n">
        <x:f>G150+H150</x:f>
        <x:v>0</x:v>
      </x:c>
      <x:c r="J150" s="586">
        <x:v>0</x:v>
      </x:c>
      <x:c r="K150" s="586" t="n">
        <x:f>ROUND(H150*E150,2)</x:f>
        <x:v>0</x:v>
      </x:c>
      <x:c r="L150" s="586" t="n">
        <x:f>J150+K150</x:f>
        <x:v>0</x:v>
      </x:c>
      <x:c r="M150" s="1548" t="n">
        <x:f>IF(D150=0,0,I150/D150)</x:f>
        <x:v>0</x:v>
      </x:c>
    </x:row>
    <x:row r="151" ht="23" customHeight="1">
      <x:c r="A151" s="514" t="s">
        <x:v>307</x:v>
      </x:c>
      <x:c r="B151" s="515" t="s">
        <x:v>308</x:v>
      </x:c>
      <x:c r="C151" s="1817"/>
      <x:c r="D151" s="1818"/>
      <x:c r="E151" s="1819"/>
      <x:c r="F151" s="1819"/>
      <x:c r="G151" s="1818"/>
      <x:c r="H151" s="1818"/>
      <x:c r="I151" s="1818"/>
      <x:c r="J151" s="1819"/>
      <x:c r="K151" s="1819"/>
      <x:c r="L151" s="1819"/>
      <x:c r="M151" s="1820"/>
    </x:row>
    <x:row r="152" ht="23" customHeight="1">
      <x:c r="A152" s="538" t="s">
        <x:v>309</x:v>
      </x:c>
      <x:c r="B152" s="539" t="s">
        <x:v>310</x:v>
      </x:c>
      <x:c r="C152" s="1825"/>
      <x:c r="D152" s="1826"/>
      <x:c r="E152" s="1827"/>
      <x:c r="F152" s="1827"/>
      <x:c r="G152" s="1826"/>
      <x:c r="H152" s="1826"/>
      <x:c r="I152" s="1826"/>
      <x:c r="J152" s="1827"/>
      <x:c r="K152" s="1827"/>
      <x:c r="L152" s="1827"/>
      <x:c r="M152" s="1828"/>
    </x:row>
    <x:row r="153" ht="24" customHeight="1">
      <x:c r="A153" s="1822" t="s">
        <x:v>311</x:v>
      </x:c>
      <x:c r="B153" s="1821" t="s">
        <x:v>312</x:v>
      </x:c>
      <x:c r="C153" s="1500" t="s">
        <x:v>73</x:v>
      </x:c>
      <x:c r="D153" s="1538">
        <x:v>1</x:v>
      </x:c>
      <x:c r="E153" s="1541">
        <x:v>385.21</x:v>
      </x:c>
      <x:c r="F153" s="1541" t="n">
        <x:f>ROUND(D153*E153,2)</x:f>
        <x:v>385.21</x:v>
      </x:c>
      <x:c r="G153" s="1544">
        <x:v>0</x:v>
      </x:c>
      <x:c r="H153" s="579">
        <x:v>0</x:v>
      </x:c>
      <x:c r="I153" s="1544" t="n">
        <x:f>G153+H153</x:f>
        <x:v>0</x:v>
      </x:c>
      <x:c r="J153" s="586">
        <x:v>0</x:v>
      </x:c>
      <x:c r="K153" s="586" t="n">
        <x:f>ROUND(H153*E153,2)</x:f>
        <x:v>0</x:v>
      </x:c>
      <x:c r="L153" s="586" t="n">
        <x:f>J153+K153</x:f>
        <x:v>0</x:v>
      </x:c>
      <x:c r="M153" s="1547" t="n">
        <x:f>IF(D153=0,0,I153/D153)</x:f>
        <x:v>0</x:v>
      </x:c>
    </x:row>
    <x:row r="154" ht="43" customHeight="1">
      <x:c r="A154" s="1824" t="s">
        <x:v>313</x:v>
      </x:c>
      <x:c r="B154" s="1823" t="s">
        <x:v>314</x:v>
      </x:c>
      <x:c r="C154" s="248" t="s">
        <x:v>73</x:v>
      </x:c>
      <x:c r="D154" s="1539">
        <x:v>7</x:v>
      </x:c>
      <x:c r="E154" s="1542">
        <x:v>678.29</x:v>
      </x:c>
      <x:c r="F154" s="1542" t="n">
        <x:f>ROUND(D154*E154,2)</x:f>
        <x:v>4748.03</x:v>
      </x:c>
      <x:c r="G154" s="1545">
        <x:v>0</x:v>
      </x:c>
      <x:c r="H154" s="579">
        <x:v>0</x:v>
      </x:c>
      <x:c r="I154" s="1545" t="n">
        <x:f>G154+H154</x:f>
        <x:v>0</x:v>
      </x:c>
      <x:c r="J154" s="586">
        <x:v>0</x:v>
      </x:c>
      <x:c r="K154" s="586" t="n">
        <x:f>ROUND(H154*E154,2)</x:f>
        <x:v>0</x:v>
      </x:c>
      <x:c r="L154" s="586" t="n">
        <x:f>J154+K154</x:f>
        <x:v>0</x:v>
      </x:c>
      <x:c r="M154" s="1548" t="n">
        <x:f>IF(D154=0,0,I154/D154)</x:f>
        <x:v>0</x:v>
      </x:c>
    </x:row>
    <x:row r="155" ht="31" customHeight="1">
      <x:c r="A155" s="1822" t="s">
        <x:v>315</x:v>
      </x:c>
      <x:c r="B155" s="1821" t="s">
        <x:v>316</x:v>
      </x:c>
      <x:c r="C155" s="1500" t="s">
        <x:v>73</x:v>
      </x:c>
      <x:c r="D155" s="1538">
        <x:v>3</x:v>
      </x:c>
      <x:c r="E155" s="1541">
        <x:v>40.87</x:v>
      </x:c>
      <x:c r="F155" s="1541" t="n">
        <x:f>ROUND(D155*E155,2)</x:f>
        <x:v>122.61</x:v>
      </x:c>
      <x:c r="G155" s="1544">
        <x:v>0</x:v>
      </x:c>
      <x:c r="H155" s="579">
        <x:v>0</x:v>
      </x:c>
      <x:c r="I155" s="1544" t="n">
        <x:f>G155+H155</x:f>
        <x:v>0</x:v>
      </x:c>
      <x:c r="J155" s="586">
        <x:v>0</x:v>
      </x:c>
      <x:c r="K155" s="586" t="n">
        <x:f>ROUND(H155*E155,2)</x:f>
        <x:v>0</x:v>
      </x:c>
      <x:c r="L155" s="586" t="n">
        <x:f>J155+K155</x:f>
        <x:v>0</x:v>
      </x:c>
      <x:c r="M155" s="1547" t="n">
        <x:f>IF(D155=0,0,I155/D155)</x:f>
        <x:v>0</x:v>
      </x:c>
    </x:row>
    <x:row r="156" ht="43" customHeight="1">
      <x:c r="A156" s="1824" t="s">
        <x:v>317</x:v>
      </x:c>
      <x:c r="B156" s="1823" t="s">
        <x:v>318</x:v>
      </x:c>
      <x:c r="C156" s="248" t="s">
        <x:v>73</x:v>
      </x:c>
      <x:c r="D156" s="1539">
        <x:v>4</x:v>
      </x:c>
      <x:c r="E156" s="1542">
        <x:v>53.26</x:v>
      </x:c>
      <x:c r="F156" s="1542" t="n">
        <x:f>ROUND(D156*E156,2)</x:f>
        <x:v>213.04</x:v>
      </x:c>
      <x:c r="G156" s="1545">
        <x:v>0</x:v>
      </x:c>
      <x:c r="H156" s="579">
        <x:v>0</x:v>
      </x:c>
      <x:c r="I156" s="1545" t="n">
        <x:f>G156+H156</x:f>
        <x:v>0</x:v>
      </x:c>
      <x:c r="J156" s="586">
        <x:v>0</x:v>
      </x:c>
      <x:c r="K156" s="586" t="n">
        <x:f>ROUND(H156*E156,2)</x:f>
        <x:v>0</x:v>
      </x:c>
      <x:c r="L156" s="586" t="n">
        <x:f>J156+K156</x:f>
        <x:v>0</x:v>
      </x:c>
      <x:c r="M156" s="1548" t="n">
        <x:f>IF(D156=0,0,I156/D156)</x:f>
        <x:v>0</x:v>
      </x:c>
    </x:row>
    <x:row r="157" ht="43" customHeight="1">
      <x:c r="A157" s="1822" t="s">
        <x:v>319</x:v>
      </x:c>
      <x:c r="B157" s="1821" t="s">
        <x:v>320</x:v>
      </x:c>
      <x:c r="C157" s="1500" t="s">
        <x:v>73</x:v>
      </x:c>
      <x:c r="D157" s="1538">
        <x:v>4</x:v>
      </x:c>
      <x:c r="E157" s="1541">
        <x:v>16.72</x:v>
      </x:c>
      <x:c r="F157" s="1541" t="n">
        <x:f>ROUND(D157*E157,2)</x:f>
        <x:v>66.88</x:v>
      </x:c>
      <x:c r="G157" s="1544">
        <x:v>0</x:v>
      </x:c>
      <x:c r="H157" s="579">
        <x:v>0</x:v>
      </x:c>
      <x:c r="I157" s="1544" t="n">
        <x:f>G157+H157</x:f>
        <x:v>0</x:v>
      </x:c>
      <x:c r="J157" s="586">
        <x:v>0</x:v>
      </x:c>
      <x:c r="K157" s="586" t="n">
        <x:f>ROUND(H157*E157,2)</x:f>
        <x:v>0</x:v>
      </x:c>
      <x:c r="L157" s="586" t="n">
        <x:f>J157+K157</x:f>
        <x:v>0</x:v>
      </x:c>
      <x:c r="M157" s="1547" t="n">
        <x:f>IF(D157=0,0,I157/D157)</x:f>
        <x:v>0</x:v>
      </x:c>
    </x:row>
    <x:row r="158" ht="43" customHeight="1">
      <x:c r="A158" s="1824" t="s">
        <x:v>321</x:v>
      </x:c>
      <x:c r="B158" s="1823" t="s">
        <x:v>322</x:v>
      </x:c>
      <x:c r="C158" s="248" t="s">
        <x:v>73</x:v>
      </x:c>
      <x:c r="D158" s="1539">
        <x:v>2</x:v>
      </x:c>
      <x:c r="E158" s="1542">
        <x:v>35.14</x:v>
      </x:c>
      <x:c r="F158" s="1542" t="n">
        <x:f>ROUND(D158*E158,2)</x:f>
        <x:v>70.28</x:v>
      </x:c>
      <x:c r="G158" s="1545">
        <x:v>0</x:v>
      </x:c>
      <x:c r="H158" s="579">
        <x:v>0</x:v>
      </x:c>
      <x:c r="I158" s="1545" t="n">
        <x:f>G158+H158</x:f>
        <x:v>0</x:v>
      </x:c>
      <x:c r="J158" s="586">
        <x:v>0</x:v>
      </x:c>
      <x:c r="K158" s="586" t="n">
        <x:f>ROUND(H158*E158,2)</x:f>
        <x:v>0</x:v>
      </x:c>
      <x:c r="L158" s="586" t="n">
        <x:f>J158+K158</x:f>
        <x:v>0</x:v>
      </x:c>
      <x:c r="M158" s="1548" t="n">
        <x:f>IF(D158=0,0,I158/D158)</x:f>
        <x:v>0</x:v>
      </x:c>
    </x:row>
    <x:row r="159" ht="43" customHeight="1">
      <x:c r="A159" s="1822" t="s">
        <x:v>323</x:v>
      </x:c>
      <x:c r="B159" s="1821" t="s">
        <x:v>324</x:v>
      </x:c>
      <x:c r="C159" s="1500" t="s">
        <x:v>73</x:v>
      </x:c>
      <x:c r="D159" s="1538">
        <x:v>2</x:v>
      </x:c>
      <x:c r="E159" s="1541">
        <x:v>13.29</x:v>
      </x:c>
      <x:c r="F159" s="1541" t="n">
        <x:f>ROUND(D159*E159,2)</x:f>
        <x:v>26.58</x:v>
      </x:c>
      <x:c r="G159" s="1544">
        <x:v>0</x:v>
      </x:c>
      <x:c r="H159" s="579">
        <x:v>0</x:v>
      </x:c>
      <x:c r="I159" s="1544" t="n">
        <x:f>G159+H159</x:f>
        <x:v>0</x:v>
      </x:c>
      <x:c r="J159" s="586">
        <x:v>0</x:v>
      </x:c>
      <x:c r="K159" s="586" t="n">
        <x:f>ROUND(H159*E159,2)</x:f>
        <x:v>0</x:v>
      </x:c>
      <x:c r="L159" s="586" t="n">
        <x:f>J159+K159</x:f>
        <x:v>0</x:v>
      </x:c>
      <x:c r="M159" s="1547" t="n">
        <x:f>IF(D159=0,0,I159/D159)</x:f>
        <x:v>0</x:v>
      </x:c>
    </x:row>
    <x:row r="160" ht="43" customHeight="1">
      <x:c r="A160" s="1824" t="s">
        <x:v>325</x:v>
      </x:c>
      <x:c r="B160" s="1823" t="s">
        <x:v>326</x:v>
      </x:c>
      <x:c r="C160" s="248" t="s">
        <x:v>73</x:v>
      </x:c>
      <x:c r="D160" s="1539">
        <x:v>7</x:v>
      </x:c>
      <x:c r="E160" s="1542">
        <x:v>12.98</x:v>
      </x:c>
      <x:c r="F160" s="1542" t="n">
        <x:f>ROUND(D160*E160,2)</x:f>
        <x:v>90.86</x:v>
      </x:c>
      <x:c r="G160" s="1545">
        <x:v>0</x:v>
      </x:c>
      <x:c r="H160" s="579">
        <x:v>0</x:v>
      </x:c>
      <x:c r="I160" s="1545" t="n">
        <x:f>G160+H160</x:f>
        <x:v>0</x:v>
      </x:c>
      <x:c r="J160" s="586">
        <x:v>0</x:v>
      </x:c>
      <x:c r="K160" s="586" t="n">
        <x:f>ROUND(H160*E160,2)</x:f>
        <x:v>0</x:v>
      </x:c>
      <x:c r="L160" s="586" t="n">
        <x:f>J160+K160</x:f>
        <x:v>0</x:v>
      </x:c>
      <x:c r="M160" s="1548" t="n">
        <x:f>IF(D160=0,0,I160/D160)</x:f>
        <x:v>0</x:v>
      </x:c>
    </x:row>
    <x:row r="161" ht="43" customHeight="1">
      <x:c r="A161" s="1822" t="s">
        <x:v>327</x:v>
      </x:c>
      <x:c r="B161" s="1821" t="s">
        <x:v>328</x:v>
      </x:c>
      <x:c r="C161" s="1500" t="s">
        <x:v>73</x:v>
      </x:c>
      <x:c r="D161" s="1538">
        <x:v>1</x:v>
      </x:c>
      <x:c r="E161" s="1541">
        <x:v>29.1</x:v>
      </x:c>
      <x:c r="F161" s="1541" t="n">
        <x:f>ROUND(D161*E161,2)</x:f>
        <x:v>29.1</x:v>
      </x:c>
      <x:c r="G161" s="1544">
        <x:v>0</x:v>
      </x:c>
      <x:c r="H161" s="579">
        <x:v>0</x:v>
      </x:c>
      <x:c r="I161" s="1544" t="n">
        <x:f>G161+H161</x:f>
        <x:v>0</x:v>
      </x:c>
      <x:c r="J161" s="586">
        <x:v>0</x:v>
      </x:c>
      <x:c r="K161" s="586" t="n">
        <x:f>ROUND(H161*E161,2)</x:f>
        <x:v>0</x:v>
      </x:c>
      <x:c r="L161" s="586" t="n">
        <x:f>J161+K161</x:f>
        <x:v>0</x:v>
      </x:c>
      <x:c r="M161" s="1547" t="n">
        <x:f>IF(D161=0,0,I161/D161)</x:f>
        <x:v>0</x:v>
      </x:c>
    </x:row>
    <x:row r="162" ht="43" customHeight="1">
      <x:c r="A162" s="1824" t="s">
        <x:v>329</x:v>
      </x:c>
      <x:c r="B162" s="1823" t="s">
        <x:v>330</x:v>
      </x:c>
      <x:c r="C162" s="248" t="s">
        <x:v>73</x:v>
      </x:c>
      <x:c r="D162" s="1539">
        <x:v>1</x:v>
      </x:c>
      <x:c r="E162" s="1542">
        <x:v>34.09</x:v>
      </x:c>
      <x:c r="F162" s="1542" t="n">
        <x:f>ROUND(D162*E162,2)</x:f>
        <x:v>34.09</x:v>
      </x:c>
      <x:c r="G162" s="1545">
        <x:v>0</x:v>
      </x:c>
      <x:c r="H162" s="579">
        <x:v>0</x:v>
      </x:c>
      <x:c r="I162" s="1545" t="n">
        <x:f>G162+H162</x:f>
        <x:v>0</x:v>
      </x:c>
      <x:c r="J162" s="586">
        <x:v>0</x:v>
      </x:c>
      <x:c r="K162" s="586" t="n">
        <x:f>ROUND(H162*E162,2)</x:f>
        <x:v>0</x:v>
      </x:c>
      <x:c r="L162" s="586" t="n">
        <x:f>J162+K162</x:f>
        <x:v>0</x:v>
      </x:c>
      <x:c r="M162" s="1548" t="n">
        <x:f>IF(D162=0,0,I162/D162)</x:f>
        <x:v>0</x:v>
      </x:c>
    </x:row>
    <x:row r="163" ht="43" customHeight="1">
      <x:c r="A163" s="1822" t="s">
        <x:v>331</x:v>
      </x:c>
      <x:c r="B163" s="1821" t="s">
        <x:v>332</x:v>
      </x:c>
      <x:c r="C163" s="1500" t="s">
        <x:v>73</x:v>
      </x:c>
      <x:c r="D163" s="1538">
        <x:v>4</x:v>
      </x:c>
      <x:c r="E163" s="1541">
        <x:v>13</x:v>
      </x:c>
      <x:c r="F163" s="1541" t="n">
        <x:f>ROUND(D163*E163,2)</x:f>
        <x:v>52</x:v>
      </x:c>
      <x:c r="G163" s="1544">
        <x:v>0</x:v>
      </x:c>
      <x:c r="H163" s="579">
        <x:v>0</x:v>
      </x:c>
      <x:c r="I163" s="1544" t="n">
        <x:f>G163+H163</x:f>
        <x:v>0</x:v>
      </x:c>
      <x:c r="J163" s="586">
        <x:v>0</x:v>
      </x:c>
      <x:c r="K163" s="586" t="n">
        <x:f>ROUND(H163*E163,2)</x:f>
        <x:v>0</x:v>
      </x:c>
      <x:c r="L163" s="586" t="n">
        <x:f>J163+K163</x:f>
        <x:v>0</x:v>
      </x:c>
      <x:c r="M163" s="1547" t="n">
        <x:f>IF(D163=0,0,I163/D163)</x:f>
        <x:v>0</x:v>
      </x:c>
    </x:row>
    <x:row r="164" ht="43" customHeight="1">
      <x:c r="A164" s="1824" t="s">
        <x:v>333</x:v>
      </x:c>
      <x:c r="B164" s="1823" t="s">
        <x:v>334</x:v>
      </x:c>
      <x:c r="C164" s="248" t="s">
        <x:v>73</x:v>
      </x:c>
      <x:c r="D164" s="1539">
        <x:v>5</x:v>
      </x:c>
      <x:c r="E164" s="1542">
        <x:v>18.3</x:v>
      </x:c>
      <x:c r="F164" s="1542" t="n">
        <x:f>ROUND(D164*E164,2)</x:f>
        <x:v>91.5</x:v>
      </x:c>
      <x:c r="G164" s="1545">
        <x:v>0</x:v>
      </x:c>
      <x:c r="H164" s="579">
        <x:v>0</x:v>
      </x:c>
      <x:c r="I164" s="1545" t="n">
        <x:f>G164+H164</x:f>
        <x:v>0</x:v>
      </x:c>
      <x:c r="J164" s="586">
        <x:v>0</x:v>
      </x:c>
      <x:c r="K164" s="586" t="n">
        <x:f>ROUND(H164*E164,2)</x:f>
        <x:v>0</x:v>
      </x:c>
      <x:c r="L164" s="586" t="n">
        <x:f>J164+K164</x:f>
        <x:v>0</x:v>
      </x:c>
      <x:c r="M164" s="1548" t="n">
        <x:f>IF(D164=0,0,I164/D164)</x:f>
        <x:v>0</x:v>
      </x:c>
    </x:row>
    <x:row r="165" ht="43" customHeight="1">
      <x:c r="A165" s="1822" t="s">
        <x:v>335</x:v>
      </x:c>
      <x:c r="B165" s="1821" t="s">
        <x:v>336</x:v>
      </x:c>
      <x:c r="C165" s="1500" t="s">
        <x:v>73</x:v>
      </x:c>
      <x:c r="D165" s="1538">
        <x:v>2</x:v>
      </x:c>
      <x:c r="E165" s="1541">
        <x:v>51.84</x:v>
      </x:c>
      <x:c r="F165" s="1541" t="n">
        <x:f>ROUND(D165*E165,2)</x:f>
        <x:v>103.68</x:v>
      </x:c>
      <x:c r="G165" s="1544">
        <x:v>0</x:v>
      </x:c>
      <x:c r="H165" s="579">
        <x:v>0</x:v>
      </x:c>
      <x:c r="I165" s="1544" t="n">
        <x:f>G165+H165</x:f>
        <x:v>0</x:v>
      </x:c>
      <x:c r="J165" s="586">
        <x:v>0</x:v>
      </x:c>
      <x:c r="K165" s="586" t="n">
        <x:f>ROUND(H165*E165,2)</x:f>
        <x:v>0</x:v>
      </x:c>
      <x:c r="L165" s="586" t="n">
        <x:f>J165+K165</x:f>
        <x:v>0</x:v>
      </x:c>
      <x:c r="M165" s="1547" t="n">
        <x:f>IF(D165=0,0,I165/D165)</x:f>
        <x:v>0</x:v>
      </x:c>
    </x:row>
    <x:row r="166" ht="43" customHeight="1">
      <x:c r="A166" s="1824" t="s">
        <x:v>337</x:v>
      </x:c>
      <x:c r="B166" s="1823" t="s">
        <x:v>338</x:v>
      </x:c>
      <x:c r="C166" s="248" t="s">
        <x:v>73</x:v>
      </x:c>
      <x:c r="D166" s="1539">
        <x:v>1</x:v>
      </x:c>
      <x:c r="E166" s="1542">
        <x:v>32.82</x:v>
      </x:c>
      <x:c r="F166" s="1542" t="n">
        <x:f>ROUND(D166*E166,2)</x:f>
        <x:v>32.82</x:v>
      </x:c>
      <x:c r="G166" s="1545">
        <x:v>0</x:v>
      </x:c>
      <x:c r="H166" s="579">
        <x:v>0</x:v>
      </x:c>
      <x:c r="I166" s="1545" t="n">
        <x:f>G166+H166</x:f>
        <x:v>0</x:v>
      </x:c>
      <x:c r="J166" s="586">
        <x:v>0</x:v>
      </x:c>
      <x:c r="K166" s="586" t="n">
        <x:f>ROUND(H166*E166,2)</x:f>
        <x:v>0</x:v>
      </x:c>
      <x:c r="L166" s="586" t="n">
        <x:f>J166+K166</x:f>
        <x:v>0</x:v>
      </x:c>
      <x:c r="M166" s="1548" t="n">
        <x:f>IF(D166=0,0,I166/D166)</x:f>
        <x:v>0</x:v>
      </x:c>
    </x:row>
    <x:row r="167" ht="43" customHeight="1">
      <x:c r="A167" s="1822" t="s">
        <x:v>339</x:v>
      </x:c>
      <x:c r="B167" s="1821" t="s">
        <x:v>340</x:v>
      </x:c>
      <x:c r="C167" s="1500" t="s">
        <x:v>73</x:v>
      </x:c>
      <x:c r="D167" s="1538">
        <x:v>1</x:v>
      </x:c>
      <x:c r="E167" s="1541">
        <x:v>59.46</x:v>
      </x:c>
      <x:c r="F167" s="1541" t="n">
        <x:f>ROUND(D167*E167,2)</x:f>
        <x:v>59.46</x:v>
      </x:c>
      <x:c r="G167" s="1544">
        <x:v>0</x:v>
      </x:c>
      <x:c r="H167" s="579">
        <x:v>0</x:v>
      </x:c>
      <x:c r="I167" s="1544" t="n">
        <x:f>G167+H167</x:f>
        <x:v>0</x:v>
      </x:c>
      <x:c r="J167" s="586">
        <x:v>0</x:v>
      </x:c>
      <x:c r="K167" s="586" t="n">
        <x:f>ROUND(H167*E167,2)</x:f>
        <x:v>0</x:v>
      </x:c>
      <x:c r="L167" s="586" t="n">
        <x:f>J167+K167</x:f>
        <x:v>0</x:v>
      </x:c>
      <x:c r="M167" s="1547" t="n">
        <x:f>IF(D167=0,0,I167/D167)</x:f>
        <x:v>0</x:v>
      </x:c>
    </x:row>
    <x:row r="168" ht="43" customHeight="1">
      <x:c r="A168" s="1824" t="s">
        <x:v>341</x:v>
      </x:c>
      <x:c r="B168" s="1823" t="s">
        <x:v>342</x:v>
      </x:c>
      <x:c r="C168" s="248" t="s">
        <x:v>73</x:v>
      </x:c>
      <x:c r="D168" s="1539">
        <x:v>3</x:v>
      </x:c>
      <x:c r="E168" s="1542">
        <x:v>63.97</x:v>
      </x:c>
      <x:c r="F168" s="1542" t="n">
        <x:f>ROUND(D168*E168,2)</x:f>
        <x:v>191.91</x:v>
      </x:c>
      <x:c r="G168" s="1545">
        <x:v>0</x:v>
      </x:c>
      <x:c r="H168" s="579">
        <x:v>0</x:v>
      </x:c>
      <x:c r="I168" s="1545" t="n">
        <x:f>G168+H168</x:f>
        <x:v>0</x:v>
      </x:c>
      <x:c r="J168" s="586">
        <x:v>0</x:v>
      </x:c>
      <x:c r="K168" s="586" t="n">
        <x:f>ROUND(H168*E168,2)</x:f>
        <x:v>0</x:v>
      </x:c>
      <x:c r="L168" s="586" t="n">
        <x:f>J168+K168</x:f>
        <x:v>0</x:v>
      </x:c>
      <x:c r="M168" s="1548" t="n">
        <x:f>IF(D168=0,0,I168/D168)</x:f>
        <x:v>0</x:v>
      </x:c>
    </x:row>
    <x:row r="169" ht="43" customHeight="1">
      <x:c r="A169" s="1822" t="s">
        <x:v>343</x:v>
      </x:c>
      <x:c r="B169" s="1821" t="s">
        <x:v>344</x:v>
      </x:c>
      <x:c r="C169" s="1500" t="s">
        <x:v>73</x:v>
      </x:c>
      <x:c r="D169" s="1538">
        <x:v>10</x:v>
      </x:c>
      <x:c r="E169" s="1541">
        <x:v>23</x:v>
      </x:c>
      <x:c r="F169" s="1541" t="n">
        <x:f>ROUND(D169*E169,2)</x:f>
        <x:v>230</x:v>
      </x:c>
      <x:c r="G169" s="1544">
        <x:v>0</x:v>
      </x:c>
      <x:c r="H169" s="579">
        <x:v>0</x:v>
      </x:c>
      <x:c r="I169" s="1544" t="n">
        <x:f>G169+H169</x:f>
        <x:v>0</x:v>
      </x:c>
      <x:c r="J169" s="586">
        <x:v>0</x:v>
      </x:c>
      <x:c r="K169" s="586" t="n">
        <x:f>ROUND(H169*E169,2)</x:f>
        <x:v>0</x:v>
      </x:c>
      <x:c r="L169" s="586" t="n">
        <x:f>J169+K169</x:f>
        <x:v>0</x:v>
      </x:c>
      <x:c r="M169" s="1547" t="n">
        <x:f>IF(D169=0,0,I169/D169)</x:f>
        <x:v>0</x:v>
      </x:c>
    </x:row>
    <x:row r="170" ht="43" customHeight="1">
      <x:c r="A170" s="1824" t="s">
        <x:v>345</x:v>
      </x:c>
      <x:c r="B170" s="1823" t="s">
        <x:v>346</x:v>
      </x:c>
      <x:c r="C170" s="248" t="s">
        <x:v>73</x:v>
      </x:c>
      <x:c r="D170" s="1539">
        <x:v>6</x:v>
      </x:c>
      <x:c r="E170" s="1542">
        <x:v>11.8</x:v>
      </x:c>
      <x:c r="F170" s="1542" t="n">
        <x:f>ROUND(D170*E170,2)</x:f>
        <x:v>70.8</x:v>
      </x:c>
      <x:c r="G170" s="1545">
        <x:v>0</x:v>
      </x:c>
      <x:c r="H170" s="579">
        <x:v>0</x:v>
      </x:c>
      <x:c r="I170" s="1545" t="n">
        <x:f>G170+H170</x:f>
        <x:v>0</x:v>
      </x:c>
      <x:c r="J170" s="586">
        <x:v>0</x:v>
      </x:c>
      <x:c r="K170" s="586" t="n">
        <x:f>ROUND(H170*E170,2)</x:f>
        <x:v>0</x:v>
      </x:c>
      <x:c r="L170" s="586" t="n">
        <x:f>J170+K170</x:f>
        <x:v>0</x:v>
      </x:c>
      <x:c r="M170" s="1548" t="n">
        <x:f>IF(D170=0,0,I170/D170)</x:f>
        <x:v>0</x:v>
      </x:c>
    </x:row>
    <x:row r="171" ht="43" customHeight="1">
      <x:c r="A171" s="1822" t="s">
        <x:v>347</x:v>
      </x:c>
      <x:c r="B171" s="1821" t="s">
        <x:v>348</x:v>
      </x:c>
      <x:c r="C171" s="1500" t="s">
        <x:v>152</x:v>
      </x:c>
      <x:c r="D171" s="1538">
        <x:v>65</x:v>
      </x:c>
      <x:c r="E171" s="1541">
        <x:v>46.96</x:v>
      </x:c>
      <x:c r="F171" s="1541" t="n">
        <x:f>ROUND(D171*E171,2)</x:f>
        <x:v>3052.4</x:v>
      </x:c>
      <x:c r="G171" s="1544">
        <x:v>0</x:v>
      </x:c>
      <x:c r="H171" s="579">
        <x:v>0</x:v>
      </x:c>
      <x:c r="I171" s="1544" t="n">
        <x:f>G171+H171</x:f>
        <x:v>0</x:v>
      </x:c>
      <x:c r="J171" s="586">
        <x:v>0</x:v>
      </x:c>
      <x:c r="K171" s="586" t="n">
        <x:f>ROUND(H171*E171,2)</x:f>
        <x:v>0</x:v>
      </x:c>
      <x:c r="L171" s="586" t="n">
        <x:f>J171+K171</x:f>
        <x:v>0</x:v>
      </x:c>
      <x:c r="M171" s="1547" t="n">
        <x:f>IF(D171=0,0,I171/D171)</x:f>
        <x:v>0</x:v>
      </x:c>
    </x:row>
    <x:row r="172" ht="43" customHeight="1">
      <x:c r="A172" s="1824" t="s">
        <x:v>349</x:v>
      </x:c>
      <x:c r="B172" s="1823" t="s">
        <x:v>350</x:v>
      </x:c>
      <x:c r="C172" s="248" t="s">
        <x:v>152</x:v>
      </x:c>
      <x:c r="D172" s="1539">
        <x:v>7</x:v>
      </x:c>
      <x:c r="E172" s="1542">
        <x:v>26.48</x:v>
      </x:c>
      <x:c r="F172" s="1542" t="n">
        <x:f>ROUND(D172*E172,2)</x:f>
        <x:v>185.36</x:v>
      </x:c>
      <x:c r="G172" s="1545">
        <x:v>0</x:v>
      </x:c>
      <x:c r="H172" s="579">
        <x:v>0</x:v>
      </x:c>
      <x:c r="I172" s="1545" t="n">
        <x:f>G172+H172</x:f>
        <x:v>0</x:v>
      </x:c>
      <x:c r="J172" s="586">
        <x:v>0</x:v>
      </x:c>
      <x:c r="K172" s="586" t="n">
        <x:f>ROUND(H172*E172,2)</x:f>
        <x:v>0</x:v>
      </x:c>
      <x:c r="L172" s="586" t="n">
        <x:f>J172+K172</x:f>
        <x:v>0</x:v>
      </x:c>
      <x:c r="M172" s="1548" t="n">
        <x:f>IF(D172=0,0,I172/D172)</x:f>
        <x:v>0</x:v>
      </x:c>
    </x:row>
    <x:row r="173" ht="43" customHeight="1">
      <x:c r="A173" s="1822" t="s">
        <x:v>351</x:v>
      </x:c>
      <x:c r="B173" s="1821" t="s">
        <x:v>352</x:v>
      </x:c>
      <x:c r="C173" s="1500" t="s">
        <x:v>152</x:v>
      </x:c>
      <x:c r="D173" s="1538">
        <x:v>10</x:v>
      </x:c>
      <x:c r="E173" s="1541">
        <x:v>33.73</x:v>
      </x:c>
      <x:c r="F173" s="1541" t="n">
        <x:f>ROUND(D173*E173,2)</x:f>
        <x:v>337.3</x:v>
      </x:c>
      <x:c r="G173" s="1544">
        <x:v>0</x:v>
      </x:c>
      <x:c r="H173" s="579">
        <x:v>0</x:v>
      </x:c>
      <x:c r="I173" s="1544" t="n">
        <x:f>G173+H173</x:f>
        <x:v>0</x:v>
      </x:c>
      <x:c r="J173" s="586">
        <x:v>0</x:v>
      </x:c>
      <x:c r="K173" s="586" t="n">
        <x:f>ROUND(H173*E173,2)</x:f>
        <x:v>0</x:v>
      </x:c>
      <x:c r="L173" s="586" t="n">
        <x:f>J173+K173</x:f>
        <x:v>0</x:v>
      </x:c>
      <x:c r="M173" s="1547" t="n">
        <x:f>IF(D173=0,0,I173/D173)</x:f>
        <x:v>0</x:v>
      </x:c>
    </x:row>
    <x:row r="174" ht="31" customHeight="1">
      <x:c r="A174" s="1824" t="s">
        <x:v>353</x:v>
      </x:c>
      <x:c r="B174" s="1823" t="s">
        <x:v>354</x:v>
      </x:c>
      <x:c r="C174" s="248" t="s">
        <x:v>73</x:v>
      </x:c>
      <x:c r="D174" s="1539">
        <x:v>1</x:v>
      </x:c>
      <x:c r="E174" s="1542">
        <x:v>42.47</x:v>
      </x:c>
      <x:c r="F174" s="1542" t="n">
        <x:f>ROUND(D174*E174,2)</x:f>
        <x:v>42.47</x:v>
      </x:c>
      <x:c r="G174" s="1545">
        <x:v>0</x:v>
      </x:c>
      <x:c r="H174" s="579">
        <x:v>0</x:v>
      </x:c>
      <x:c r="I174" s="1545" t="n">
        <x:f>G174+H174</x:f>
        <x:v>0</x:v>
      </x:c>
      <x:c r="J174" s="586">
        <x:v>0</x:v>
      </x:c>
      <x:c r="K174" s="586" t="n">
        <x:f>ROUND(H174*E174,2)</x:f>
        <x:v>0</x:v>
      </x:c>
      <x:c r="L174" s="586" t="n">
        <x:f>J174+K174</x:f>
        <x:v>0</x:v>
      </x:c>
      <x:c r="M174" s="1548" t="n">
        <x:f>IF(D174=0,0,I174/D174)</x:f>
        <x:v>0</x:v>
      </x:c>
    </x:row>
    <x:row r="175" ht="43" customHeight="1">
      <x:c r="A175" s="1822" t="s">
        <x:v>355</x:v>
      </x:c>
      <x:c r="B175" s="1821" t="s">
        <x:v>356</x:v>
      </x:c>
      <x:c r="C175" s="1500" t="s">
        <x:v>73</x:v>
      </x:c>
      <x:c r="D175" s="1538">
        <x:v>4</x:v>
      </x:c>
      <x:c r="E175" s="1541">
        <x:v>12.79</x:v>
      </x:c>
      <x:c r="F175" s="1541" t="n">
        <x:f>ROUND(D175*E175,2)</x:f>
        <x:v>51.16</x:v>
      </x:c>
      <x:c r="G175" s="1544">
        <x:v>0</x:v>
      </x:c>
      <x:c r="H175" s="579">
        <x:v>0</x:v>
      </x:c>
      <x:c r="I175" s="1544" t="n">
        <x:f>G175+H175</x:f>
        <x:v>0</x:v>
      </x:c>
      <x:c r="J175" s="586">
        <x:v>0</x:v>
      </x:c>
      <x:c r="K175" s="586" t="n">
        <x:f>ROUND(H175*E175,2)</x:f>
        <x:v>0</x:v>
      </x:c>
      <x:c r="L175" s="586" t="n">
        <x:f>J175+K175</x:f>
        <x:v>0</x:v>
      </x:c>
      <x:c r="M175" s="1547" t="n">
        <x:f>IF(D175=0,0,I175/D175)</x:f>
        <x:v>0</x:v>
      </x:c>
    </x:row>
    <x:row r="176" ht="23" customHeight="1">
      <x:c r="A176" s="538" t="s">
        <x:v>357</x:v>
      </x:c>
      <x:c r="B176" s="539" t="s">
        <x:v>358</x:v>
      </x:c>
      <x:c r="C176" s="1825"/>
      <x:c r="D176" s="1826"/>
      <x:c r="E176" s="1827"/>
      <x:c r="F176" s="1827"/>
      <x:c r="G176" s="1826"/>
      <x:c r="H176" s="1826"/>
      <x:c r="I176" s="1826"/>
      <x:c r="J176" s="1827"/>
      <x:c r="K176" s="1827"/>
      <x:c r="L176" s="1827"/>
      <x:c r="M176" s="1828"/>
    </x:row>
    <x:row r="177" ht="55" customHeight="1">
      <x:c r="A177" s="1824" t="s">
        <x:v>359</x:v>
      </x:c>
      <x:c r="B177" s="1823" t="s">
        <x:v>360</x:v>
      </x:c>
      <x:c r="C177" s="248" t="s">
        <x:v>62</x:v>
      </x:c>
      <x:c r="D177" s="1539">
        <x:v>0.7</x:v>
      </x:c>
      <x:c r="E177" s="1542">
        <x:v>614.31</x:v>
      </x:c>
      <x:c r="F177" s="1542" t="n">
        <x:f>ROUND(D177*E177,2)</x:f>
        <x:v>430.02</x:v>
      </x:c>
      <x:c r="G177" s="1545">
        <x:v>0</x:v>
      </x:c>
      <x:c r="H177" s="579">
        <x:v>0</x:v>
      </x:c>
      <x:c r="I177" s="1545" t="n">
        <x:f>G177+H177</x:f>
        <x:v>0</x:v>
      </x:c>
      <x:c r="J177" s="586">
        <x:v>0</x:v>
      </x:c>
      <x:c r="K177" s="586" t="n">
        <x:f>ROUND(H177*E177,2)</x:f>
        <x:v>0</x:v>
      </x:c>
      <x:c r="L177" s="586" t="n">
        <x:f>J177+K177</x:f>
        <x:v>0</x:v>
      </x:c>
      <x:c r="M177" s="1548" t="n">
        <x:f>IF(D177=0,0,I177/D177)</x:f>
        <x:v>0</x:v>
      </x:c>
    </x:row>
    <x:row r="178" ht="24" customHeight="1">
      <x:c r="A178" s="1822" t="s">
        <x:v>361</x:v>
      </x:c>
      <x:c r="B178" s="1821" t="s">
        <x:v>362</x:v>
      </x:c>
      <x:c r="C178" s="1500" t="s">
        <x:v>62</x:v>
      </x:c>
      <x:c r="D178" s="1538">
        <x:v>0.3</x:v>
      </x:c>
      <x:c r="E178" s="1541">
        <x:v>216.57</x:v>
      </x:c>
      <x:c r="F178" s="1541" t="n">
        <x:f>ROUND(D178*E178,2)</x:f>
        <x:v>64.97</x:v>
      </x:c>
      <x:c r="G178" s="1544">
        <x:v>0</x:v>
      </x:c>
      <x:c r="H178" s="579">
        <x:v>0</x:v>
      </x:c>
      <x:c r="I178" s="1544" t="n">
        <x:f>G178+H178</x:f>
        <x:v>0</x:v>
      </x:c>
      <x:c r="J178" s="586">
        <x:v>0</x:v>
      </x:c>
      <x:c r="K178" s="586" t="n">
        <x:f>ROUND(H178*E178,2)</x:f>
        <x:v>0</x:v>
      </x:c>
      <x:c r="L178" s="586" t="n">
        <x:f>J178+K178</x:f>
        <x:v>0</x:v>
      </x:c>
      <x:c r="M178" s="1547" t="n">
        <x:f>IF(D178=0,0,I178/D178)</x:f>
        <x:v>0</x:v>
      </x:c>
    </x:row>
    <x:row r="179" ht="24" customHeight="1">
      <x:c r="A179" s="1824" t="s">
        <x:v>363</x:v>
      </x:c>
      <x:c r="B179" s="1823" t="s">
        <x:v>364</x:v>
      </x:c>
      <x:c r="C179" s="248" t="s">
        <x:v>73</x:v>
      </x:c>
      <x:c r="D179" s="1539">
        <x:v>2</x:v>
      </x:c>
      <x:c r="E179" s="1542">
        <x:v>149.19</x:v>
      </x:c>
      <x:c r="F179" s="1542" t="n">
        <x:f>ROUND(D179*E179,2)</x:f>
        <x:v>298.38</x:v>
      </x:c>
      <x:c r="G179" s="1545">
        <x:v>0</x:v>
      </x:c>
      <x:c r="H179" s="579">
        <x:v>0</x:v>
      </x:c>
      <x:c r="I179" s="1545" t="n">
        <x:f>G179+H179</x:f>
        <x:v>0</x:v>
      </x:c>
      <x:c r="J179" s="586">
        <x:v>0</x:v>
      </x:c>
      <x:c r="K179" s="586" t="n">
        <x:f>ROUND(H179*E179,2)</x:f>
        <x:v>0</x:v>
      </x:c>
      <x:c r="L179" s="586" t="n">
        <x:f>J179+K179</x:f>
        <x:v>0</x:v>
      </x:c>
      <x:c r="M179" s="1548" t="n">
        <x:f>IF(D179=0,0,I179/D179)</x:f>
        <x:v>0</x:v>
      </x:c>
    </x:row>
    <x:row r="180" ht="31" customHeight="1">
      <x:c r="A180" s="1822" t="s">
        <x:v>365</x:v>
      </x:c>
      <x:c r="B180" s="1821" t="s">
        <x:v>366</x:v>
      </x:c>
      <x:c r="C180" s="1500" t="s">
        <x:v>73</x:v>
      </x:c>
      <x:c r="D180" s="1538">
        <x:v>979</x:v>
      </x:c>
      <x:c r="E180" s="1541">
        <x:v>0.93</x:v>
      </x:c>
      <x:c r="F180" s="1541" t="n">
        <x:f>ROUND(D180*E180,2)</x:f>
        <x:v>910.47</x:v>
      </x:c>
      <x:c r="G180" s="1544">
        <x:v>0</x:v>
      </x:c>
      <x:c r="H180" s="579">
        <x:v>0</x:v>
      </x:c>
      <x:c r="I180" s="1544" t="n">
        <x:f>G180+H180</x:f>
        <x:v>0</x:v>
      </x:c>
      <x:c r="J180" s="586">
        <x:v>0</x:v>
      </x:c>
      <x:c r="K180" s="586" t="n">
        <x:f>ROUND(H180*E180,2)</x:f>
        <x:v>0</x:v>
      </x:c>
      <x:c r="L180" s="586" t="n">
        <x:f>J180+K180</x:f>
        <x:v>0</x:v>
      </x:c>
      <x:c r="M180" s="1547" t="n">
        <x:f>IF(D180=0,0,I180/D180)</x:f>
        <x:v>0</x:v>
      </x:c>
    </x:row>
    <x:row r="181" ht="55" customHeight="1">
      <x:c r="A181" s="1824" t="s">
        <x:v>367</x:v>
      </x:c>
      <x:c r="B181" s="1823" t="s">
        <x:v>368</x:v>
      </x:c>
      <x:c r="C181" s="248" t="s">
        <x:v>62</x:v>
      </x:c>
      <x:c r="D181" s="1539">
        <x:v>12.47</x:v>
      </x:c>
      <x:c r="E181" s="1542">
        <x:v>7.44</x:v>
      </x:c>
      <x:c r="F181" s="1542" t="n">
        <x:f>ROUND(D181*E181,2)</x:f>
        <x:v>92.78</x:v>
      </x:c>
      <x:c r="G181" s="1545">
        <x:v>0</x:v>
      </x:c>
      <x:c r="H181" s="579">
        <x:v>0</x:v>
      </x:c>
      <x:c r="I181" s="1545" t="n">
        <x:f>G181+H181</x:f>
        <x:v>0</x:v>
      </x:c>
      <x:c r="J181" s="586">
        <x:v>0</x:v>
      </x:c>
      <x:c r="K181" s="586" t="n">
        <x:f>ROUND(H181*E181,2)</x:f>
        <x:v>0</x:v>
      </x:c>
      <x:c r="L181" s="586" t="n">
        <x:f>J181+K181</x:f>
        <x:v>0</x:v>
      </x:c>
      <x:c r="M181" s="1548" t="n">
        <x:f>IF(D181=0,0,I181/D181)</x:f>
        <x:v>0</x:v>
      </x:c>
    </x:row>
    <x:row r="182" ht="23" customHeight="1">
      <x:c r="A182" s="538" t="s">
        <x:v>369</x:v>
      </x:c>
      <x:c r="B182" s="539" t="s">
        <x:v>370</x:v>
      </x:c>
      <x:c r="C182" s="1825"/>
      <x:c r="D182" s="1826"/>
      <x:c r="E182" s="1827"/>
      <x:c r="F182" s="1827"/>
      <x:c r="G182" s="1826"/>
      <x:c r="H182" s="1826"/>
      <x:c r="I182" s="1826"/>
      <x:c r="J182" s="1827"/>
      <x:c r="K182" s="1827"/>
      <x:c r="L182" s="1827"/>
      <x:c r="M182" s="1828"/>
    </x:row>
    <x:row r="183" ht="43" customHeight="1">
      <x:c r="A183" s="1822" t="s">
        <x:v>371</x:v>
      </x:c>
      <x:c r="B183" s="1821" t="s">
        <x:v>326</x:v>
      </x:c>
      <x:c r="C183" s="1500" t="s">
        <x:v>73</x:v>
      </x:c>
      <x:c r="D183" s="1538">
        <x:v>2</x:v>
      </x:c>
      <x:c r="E183" s="1541">
        <x:v>12.98</x:v>
      </x:c>
      <x:c r="F183" s="1541" t="n">
        <x:f>ROUND(D183*E183,2)</x:f>
        <x:v>25.96</x:v>
      </x:c>
      <x:c r="G183" s="1544">
        <x:v>0</x:v>
      </x:c>
      <x:c r="H183" s="579">
        <x:v>0</x:v>
      </x:c>
      <x:c r="I183" s="1544" t="n">
        <x:f>G183+H183</x:f>
        <x:v>0</x:v>
      </x:c>
      <x:c r="J183" s="586">
        <x:v>0</x:v>
      </x:c>
      <x:c r="K183" s="586" t="n">
        <x:f>ROUND(H183*E183,2)</x:f>
        <x:v>0</x:v>
      </x:c>
      <x:c r="L183" s="586" t="n">
        <x:f>J183+K183</x:f>
        <x:v>0</x:v>
      </x:c>
      <x:c r="M183" s="1547" t="n">
        <x:f>IF(D183=0,0,I183/D183)</x:f>
        <x:v>0</x:v>
      </x:c>
    </x:row>
    <x:row r="184" ht="43" customHeight="1">
      <x:c r="A184" s="1824" t="s">
        <x:v>372</x:v>
      </x:c>
      <x:c r="B184" s="1823" t="s">
        <x:v>373</x:v>
      </x:c>
      <x:c r="C184" s="248" t="s">
        <x:v>73</x:v>
      </x:c>
      <x:c r="D184" s="1539">
        <x:v>4</x:v>
      </x:c>
      <x:c r="E184" s="1542">
        <x:v>12.05</x:v>
      </x:c>
      <x:c r="F184" s="1542" t="n">
        <x:f>ROUND(D184*E184,2)</x:f>
        <x:v>48.2</x:v>
      </x:c>
      <x:c r="G184" s="1545">
        <x:v>0</x:v>
      </x:c>
      <x:c r="H184" s="579">
        <x:v>0</x:v>
      </x:c>
      <x:c r="I184" s="1545" t="n">
        <x:f>G184+H184</x:f>
        <x:v>0</x:v>
      </x:c>
      <x:c r="J184" s="586">
        <x:v>0</x:v>
      </x:c>
      <x:c r="K184" s="586" t="n">
        <x:f>ROUND(H184*E184,2)</x:f>
        <x:v>0</x:v>
      </x:c>
      <x:c r="L184" s="586" t="n">
        <x:f>J184+K184</x:f>
        <x:v>0</x:v>
      </x:c>
      <x:c r="M184" s="1548" t="n">
        <x:f>IF(D184=0,0,I184/D184)</x:f>
        <x:v>0</x:v>
      </x:c>
    </x:row>
    <x:row r="185" ht="43" customHeight="1">
      <x:c r="A185" s="1822" t="s">
        <x:v>374</x:v>
      </x:c>
      <x:c r="B185" s="1821" t="s">
        <x:v>375</x:v>
      </x:c>
      <x:c r="C185" s="1500" t="s">
        <x:v>152</x:v>
      </x:c>
      <x:c r="D185" s="1538">
        <x:v>15</x:v>
      </x:c>
      <x:c r="E185" s="1541">
        <x:v>17.05</x:v>
      </x:c>
      <x:c r="F185" s="1541" t="n">
        <x:f>ROUND(D185*E185,2)</x:f>
        <x:v>255.75</x:v>
      </x:c>
      <x:c r="G185" s="1544">
        <x:v>0</x:v>
      </x:c>
      <x:c r="H185" s="579">
        <x:v>0</x:v>
      </x:c>
      <x:c r="I185" s="1544" t="n">
        <x:f>G185+H185</x:f>
        <x:v>0</x:v>
      </x:c>
      <x:c r="J185" s="586">
        <x:v>0</x:v>
      </x:c>
      <x:c r="K185" s="586" t="n">
        <x:f>ROUND(H185*E185,2)</x:f>
        <x:v>0</x:v>
      </x:c>
      <x:c r="L185" s="586" t="n">
        <x:f>J185+K185</x:f>
        <x:v>0</x:v>
      </x:c>
      <x:c r="M185" s="1547" t="n">
        <x:f>IF(D185=0,0,I185/D185)</x:f>
        <x:v>0</x:v>
      </x:c>
    </x:row>
    <x:row r="186" ht="43" customHeight="1">
      <x:c r="A186" s="1824" t="s">
        <x:v>376</x:v>
      </x:c>
      <x:c r="B186" s="1823" t="s">
        <x:v>377</x:v>
      </x:c>
      <x:c r="C186" s="248" t="s">
        <x:v>73</x:v>
      </x:c>
      <x:c r="D186" s="1539">
        <x:v>2</x:v>
      </x:c>
      <x:c r="E186" s="1542">
        <x:v>21.47</x:v>
      </x:c>
      <x:c r="F186" s="1542" t="n">
        <x:f>ROUND(D186*E186,2)</x:f>
        <x:v>42.94</x:v>
      </x:c>
      <x:c r="G186" s="1545">
        <x:v>0</x:v>
      </x:c>
      <x:c r="H186" s="579">
        <x:v>0</x:v>
      </x:c>
      <x:c r="I186" s="1545" t="n">
        <x:f>G186+H186</x:f>
        <x:v>0</x:v>
      </x:c>
      <x:c r="J186" s="586">
        <x:v>0</x:v>
      </x:c>
      <x:c r="K186" s="586" t="n">
        <x:f>ROUND(H186*E186,2)</x:f>
        <x:v>0</x:v>
      </x:c>
      <x:c r="L186" s="586" t="n">
        <x:f>J186+K186</x:f>
        <x:v>0</x:v>
      </x:c>
      <x:c r="M186" s="1548" t="n">
        <x:f>IF(D186=0,0,I186/D186)</x:f>
        <x:v>0</x:v>
      </x:c>
    </x:row>
    <x:row r="187" ht="43" customHeight="1">
      <x:c r="A187" s="1822" t="s">
        <x:v>378</x:v>
      </x:c>
      <x:c r="B187" s="1821" t="s">
        <x:v>379</x:v>
      </x:c>
      <x:c r="C187" s="1500" t="s">
        <x:v>73</x:v>
      </x:c>
      <x:c r="D187" s="1538">
        <x:v>2</x:v>
      </x:c>
      <x:c r="E187" s="1541">
        <x:v>14.29</x:v>
      </x:c>
      <x:c r="F187" s="1541" t="n">
        <x:f>ROUND(D187*E187,2)</x:f>
        <x:v>28.58</x:v>
      </x:c>
      <x:c r="G187" s="1544">
        <x:v>0</x:v>
      </x:c>
      <x:c r="H187" s="579">
        <x:v>0</x:v>
      </x:c>
      <x:c r="I187" s="1544" t="n">
        <x:f>G187+H187</x:f>
        <x:v>0</x:v>
      </x:c>
      <x:c r="J187" s="586">
        <x:v>0</x:v>
      </x:c>
      <x:c r="K187" s="586" t="n">
        <x:f>ROUND(H187*E187,2)</x:f>
        <x:v>0</x:v>
      </x:c>
      <x:c r="L187" s="586" t="n">
        <x:f>J187+K187</x:f>
        <x:v>0</x:v>
      </x:c>
      <x:c r="M187" s="1547" t="n">
        <x:f>IF(D187=0,0,I187/D187)</x:f>
        <x:v>0</x:v>
      </x:c>
    </x:row>
    <x:row r="188" ht="43" customHeight="1">
      <x:c r="A188" s="1824" t="s">
        <x:v>380</x:v>
      </x:c>
      <x:c r="B188" s="1823" t="s">
        <x:v>381</x:v>
      </x:c>
      <x:c r="C188" s="248" t="s">
        <x:v>73</x:v>
      </x:c>
      <x:c r="D188" s="1539">
        <x:v>1</x:v>
      </x:c>
      <x:c r="E188" s="1542">
        <x:v>37.14</x:v>
      </x:c>
      <x:c r="F188" s="1542" t="n">
        <x:f>ROUND(D188*E188,2)</x:f>
        <x:v>37.14</x:v>
      </x:c>
      <x:c r="G188" s="1545">
        <x:v>0</x:v>
      </x:c>
      <x:c r="H188" s="579">
        <x:v>0</x:v>
      </x:c>
      <x:c r="I188" s="1545" t="n">
        <x:f>G188+H188</x:f>
        <x:v>0</x:v>
      </x:c>
      <x:c r="J188" s="586">
        <x:v>0</x:v>
      </x:c>
      <x:c r="K188" s="586" t="n">
        <x:f>ROUND(H188*E188,2)</x:f>
        <x:v>0</x:v>
      </x:c>
      <x:c r="L188" s="586" t="n">
        <x:f>J188+K188</x:f>
        <x:v>0</x:v>
      </x:c>
      <x:c r="M188" s="1548" t="n">
        <x:f>IF(D188=0,0,I188/D188)</x:f>
        <x:v>0</x:v>
      </x:c>
    </x:row>
    <x:row r="189" ht="23" customHeight="1">
      <x:c r="A189" s="538" t="s">
        <x:v>382</x:v>
      </x:c>
      <x:c r="B189" s="539" t="s">
        <x:v>383</x:v>
      </x:c>
      <x:c r="C189" s="1825"/>
      <x:c r="D189" s="1826"/>
      <x:c r="E189" s="1827"/>
      <x:c r="F189" s="1827"/>
      <x:c r="G189" s="1826"/>
      <x:c r="H189" s="1826"/>
      <x:c r="I189" s="1826"/>
      <x:c r="J189" s="1827"/>
      <x:c r="K189" s="1827"/>
      <x:c r="L189" s="1827"/>
      <x:c r="M189" s="1828"/>
    </x:row>
    <x:row r="190" ht="31" customHeight="1">
      <x:c r="A190" s="1822" t="s">
        <x:v>384</x:v>
      </x:c>
      <x:c r="B190" s="1821" t="s">
        <x:v>385</x:v>
      </x:c>
      <x:c r="C190" s="1500" t="s">
        <x:v>73</x:v>
      </x:c>
      <x:c r="D190" s="1538">
        <x:v>2</x:v>
      </x:c>
      <x:c r="E190" s="1541">
        <x:v>308.21</x:v>
      </x:c>
      <x:c r="F190" s="1541" t="n">
        <x:f>ROUND(D190*E190,2)</x:f>
        <x:v>616.42</x:v>
      </x:c>
      <x:c r="G190" s="1544">
        <x:v>0</x:v>
      </x:c>
      <x:c r="H190" s="579">
        <x:v>0</x:v>
      </x:c>
      <x:c r="I190" s="1544" t="n">
        <x:f>G190+H190</x:f>
        <x:v>0</x:v>
      </x:c>
      <x:c r="J190" s="586">
        <x:v>0</x:v>
      </x:c>
      <x:c r="K190" s="586" t="n">
        <x:f>ROUND(H190*E190,2)</x:f>
        <x:v>0</x:v>
      </x:c>
      <x:c r="L190" s="586" t="n">
        <x:f>J190+K190</x:f>
        <x:v>0</x:v>
      </x:c>
      <x:c r="M190" s="1547" t="n">
        <x:f>IF(D190=0,0,I190/D190)</x:f>
        <x:v>0</x:v>
      </x:c>
    </x:row>
    <x:row r="191" ht="43" customHeight="1">
      <x:c r="A191" s="1824" t="s">
        <x:v>386</x:v>
      </x:c>
      <x:c r="B191" s="1823" t="s">
        <x:v>387</x:v>
      </x:c>
      <x:c r="C191" s="248" t="s">
        <x:v>73</x:v>
      </x:c>
      <x:c r="D191" s="1539">
        <x:v>4</x:v>
      </x:c>
      <x:c r="E191" s="1542">
        <x:v>617.84</x:v>
      </x:c>
      <x:c r="F191" s="1542" t="n">
        <x:f>ROUND(D191*E191,2)</x:f>
        <x:v>2471.36</x:v>
      </x:c>
      <x:c r="G191" s="1545">
        <x:v>0</x:v>
      </x:c>
      <x:c r="H191" s="579">
        <x:v>0</x:v>
      </x:c>
      <x:c r="I191" s="1545" t="n">
        <x:f>G191+H191</x:f>
        <x:v>0</x:v>
      </x:c>
      <x:c r="J191" s="586">
        <x:v>0</x:v>
      </x:c>
      <x:c r="K191" s="586" t="n">
        <x:f>ROUND(H191*E191,2)</x:f>
        <x:v>0</x:v>
      </x:c>
      <x:c r="L191" s="586" t="n">
        <x:f>J191+K191</x:f>
        <x:v>0</x:v>
      </x:c>
      <x:c r="M191" s="1548" t="n">
        <x:f>IF(D191=0,0,I191/D191)</x:f>
        <x:v>0</x:v>
      </x:c>
    </x:row>
    <x:row r="192" ht="24" customHeight="1">
      <x:c r="A192" s="1822" t="s">
        <x:v>388</x:v>
      </x:c>
      <x:c r="B192" s="1821" t="s">
        <x:v>389</x:v>
      </x:c>
      <x:c r="C192" s="1500" t="s">
        <x:v>73</x:v>
      </x:c>
      <x:c r="D192" s="1538">
        <x:v>4</x:v>
      </x:c>
      <x:c r="E192" s="1541">
        <x:v>89.9</x:v>
      </x:c>
      <x:c r="F192" s="1541" t="n">
        <x:f>ROUND(D192*E192,2)</x:f>
        <x:v>359.6</x:v>
      </x:c>
      <x:c r="G192" s="1544">
        <x:v>0</x:v>
      </x:c>
      <x:c r="H192" s="579">
        <x:v>0</x:v>
      </x:c>
      <x:c r="I192" s="1544" t="n">
        <x:f>G192+H192</x:f>
        <x:v>0</x:v>
      </x:c>
      <x:c r="J192" s="586">
        <x:v>0</x:v>
      </x:c>
      <x:c r="K192" s="586" t="n">
        <x:f>ROUND(H192*E192,2)</x:f>
        <x:v>0</x:v>
      </x:c>
      <x:c r="L192" s="586" t="n">
        <x:f>J192+K192</x:f>
        <x:v>0</x:v>
      </x:c>
      <x:c r="M192" s="1547" t="n">
        <x:f>IF(D192=0,0,I192/D192)</x:f>
        <x:v>0</x:v>
      </x:c>
    </x:row>
    <x:row r="193" ht="55" customHeight="1">
      <x:c r="A193" s="1824" t="s">
        <x:v>390</x:v>
      </x:c>
      <x:c r="B193" s="1823" t="s">
        <x:v>391</x:v>
      </x:c>
      <x:c r="C193" s="248" t="s">
        <x:v>73</x:v>
      </x:c>
      <x:c r="D193" s="1539">
        <x:v>4</x:v>
      </x:c>
      <x:c r="E193" s="1542">
        <x:v>553.43</x:v>
      </x:c>
      <x:c r="F193" s="1542" t="n">
        <x:f>ROUND(D193*E193,2)</x:f>
        <x:v>2213.72</x:v>
      </x:c>
      <x:c r="G193" s="1545">
        <x:v>0</x:v>
      </x:c>
      <x:c r="H193" s="579">
        <x:v>0</x:v>
      </x:c>
      <x:c r="I193" s="1545" t="n">
        <x:f>G193+H193</x:f>
        <x:v>0</x:v>
      </x:c>
      <x:c r="J193" s="586">
        <x:v>0</x:v>
      </x:c>
      <x:c r="K193" s="586" t="n">
        <x:f>ROUND(H193*E193,2)</x:f>
        <x:v>0</x:v>
      </x:c>
      <x:c r="L193" s="586" t="n">
        <x:f>J193+K193</x:f>
        <x:v>0</x:v>
      </x:c>
      <x:c r="M193" s="1548" t="n">
        <x:f>IF(D193=0,0,I193/D193)</x:f>
        <x:v>0</x:v>
      </x:c>
    </x:row>
    <x:row r="194" ht="31" customHeight="1">
      <x:c r="A194" s="1822" t="s">
        <x:v>392</x:v>
      </x:c>
      <x:c r="B194" s="1821" t="s">
        <x:v>393</x:v>
      </x:c>
      <x:c r="C194" s="1500" t="s">
        <x:v>73</x:v>
      </x:c>
      <x:c r="D194" s="1538">
        <x:v>4</x:v>
      </x:c>
      <x:c r="E194" s="1541">
        <x:v>148.06</x:v>
      </x:c>
      <x:c r="F194" s="1541" t="n">
        <x:f>ROUND(D194*E194,2)</x:f>
        <x:v>592.24</x:v>
      </x:c>
      <x:c r="G194" s="1544">
        <x:v>0</x:v>
      </x:c>
      <x:c r="H194" s="579">
        <x:v>0</x:v>
      </x:c>
      <x:c r="I194" s="1544" t="n">
        <x:f>G194+H194</x:f>
        <x:v>0</x:v>
      </x:c>
      <x:c r="J194" s="586">
        <x:v>0</x:v>
      </x:c>
      <x:c r="K194" s="586" t="n">
        <x:f>ROUND(H194*E194,2)</x:f>
        <x:v>0</x:v>
      </x:c>
      <x:c r="L194" s="586" t="n">
        <x:f>J194+K194</x:f>
        <x:v>0</x:v>
      </x:c>
      <x:c r="M194" s="1547" t="n">
        <x:f>IF(D194=0,0,I194/D194)</x:f>
        <x:v>0</x:v>
      </x:c>
    </x:row>
    <x:row r="195" ht="31" customHeight="1">
      <x:c r="A195" s="1824" t="s">
        <x:v>394</x:v>
      </x:c>
      <x:c r="B195" s="1823" t="s">
        <x:v>395</x:v>
      </x:c>
      <x:c r="C195" s="248" t="s">
        <x:v>73</x:v>
      </x:c>
      <x:c r="D195" s="1539">
        <x:v>2</x:v>
      </x:c>
      <x:c r="E195" s="1542">
        <x:v>383.16</x:v>
      </x:c>
      <x:c r="F195" s="1542" t="n">
        <x:f>ROUND(D195*E195,2)</x:f>
        <x:v>766.32</x:v>
      </x:c>
      <x:c r="G195" s="1545">
        <x:v>0</x:v>
      </x:c>
      <x:c r="H195" s="579">
        <x:v>0</x:v>
      </x:c>
      <x:c r="I195" s="1545" t="n">
        <x:f>G195+H195</x:f>
        <x:v>0</x:v>
      </x:c>
      <x:c r="J195" s="586">
        <x:v>0</x:v>
      </x:c>
      <x:c r="K195" s="586" t="n">
        <x:f>ROUND(H195*E195,2)</x:f>
        <x:v>0</x:v>
      </x:c>
      <x:c r="L195" s="586" t="n">
        <x:f>J195+K195</x:f>
        <x:v>0</x:v>
      </x:c>
      <x:c r="M195" s="1548" t="n">
        <x:f>IF(D195=0,0,I195/D195)</x:f>
        <x:v>0</x:v>
      </x:c>
    </x:row>
    <x:row r="196" ht="31" customHeight="1">
      <x:c r="A196" s="1822" t="s">
        <x:v>396</x:v>
      </x:c>
      <x:c r="B196" s="1821" t="s">
        <x:v>397</x:v>
      </x:c>
      <x:c r="C196" s="1500" t="s">
        <x:v>73</x:v>
      </x:c>
      <x:c r="D196" s="1538">
        <x:v>2</x:v>
      </x:c>
      <x:c r="E196" s="1541">
        <x:v>364.98</x:v>
      </x:c>
      <x:c r="F196" s="1541" t="n">
        <x:f>ROUND(D196*E196,2)</x:f>
        <x:v>729.96</x:v>
      </x:c>
      <x:c r="G196" s="1544">
        <x:v>0</x:v>
      </x:c>
      <x:c r="H196" s="579">
        <x:v>0</x:v>
      </x:c>
      <x:c r="I196" s="1544" t="n">
        <x:f>G196+H196</x:f>
        <x:v>0</x:v>
      </x:c>
      <x:c r="J196" s="586">
        <x:v>0</x:v>
      </x:c>
      <x:c r="K196" s="586" t="n">
        <x:f>ROUND(H196*E196,2)</x:f>
        <x:v>0</x:v>
      </x:c>
      <x:c r="L196" s="586" t="n">
        <x:f>J196+K196</x:f>
        <x:v>0</x:v>
      </x:c>
      <x:c r="M196" s="1547" t="n">
        <x:f>IF(D196=0,0,I196/D196)</x:f>
        <x:v>0</x:v>
      </x:c>
    </x:row>
    <x:row r="197" ht="31" customHeight="1">
      <x:c r="A197" s="1824" t="s">
        <x:v>398</x:v>
      </x:c>
      <x:c r="B197" s="1823" t="s">
        <x:v>399</x:v>
      </x:c>
      <x:c r="C197" s="248" t="s">
        <x:v>73</x:v>
      </x:c>
      <x:c r="D197" s="1539">
        <x:v>2</x:v>
      </x:c>
      <x:c r="E197" s="1542">
        <x:v>336.47</x:v>
      </x:c>
      <x:c r="F197" s="1542" t="n">
        <x:f>ROUND(D197*E197,2)</x:f>
        <x:v>672.94</x:v>
      </x:c>
      <x:c r="G197" s="1545">
        <x:v>0</x:v>
      </x:c>
      <x:c r="H197" s="579">
        <x:v>0</x:v>
      </x:c>
      <x:c r="I197" s="1545" t="n">
        <x:f>G197+H197</x:f>
        <x:v>0</x:v>
      </x:c>
      <x:c r="J197" s="586">
        <x:v>0</x:v>
      </x:c>
      <x:c r="K197" s="586" t="n">
        <x:f>ROUND(H197*E197,2)</x:f>
        <x:v>0</x:v>
      </x:c>
      <x:c r="L197" s="586" t="n">
        <x:f>J197+K197</x:f>
        <x:v>0</x:v>
      </x:c>
      <x:c r="M197" s="1548" t="n">
        <x:f>IF(D197=0,0,I197/D197)</x:f>
        <x:v>0</x:v>
      </x:c>
    </x:row>
    <x:row r="198" ht="23" customHeight="1">
      <x:c r="A198" s="538" t="s">
        <x:v>400</x:v>
      </x:c>
      <x:c r="B198" s="539" t="s">
        <x:v>401</x:v>
      </x:c>
      <x:c r="C198" s="1825"/>
      <x:c r="D198" s="1826"/>
      <x:c r="E198" s="1827"/>
      <x:c r="F198" s="1827"/>
      <x:c r="G198" s="1826"/>
      <x:c r="H198" s="1826"/>
      <x:c r="I198" s="1826"/>
      <x:c r="J198" s="1827"/>
      <x:c r="K198" s="1827"/>
      <x:c r="L198" s="1827"/>
      <x:c r="M198" s="1828"/>
    </x:row>
    <x:row r="199" ht="43" customHeight="1">
      <x:c r="A199" s="1822" t="s">
        <x:v>402</x:v>
      </x:c>
      <x:c r="B199" s="1821" t="s">
        <x:v>403</x:v>
      </x:c>
      <x:c r="C199" s="1500" t="s">
        <x:v>65</x:v>
      </x:c>
      <x:c r="D199" s="1538">
        <x:v>1</x:v>
      </x:c>
      <x:c r="E199" s="1541">
        <x:v>1063.06</x:v>
      </x:c>
      <x:c r="F199" s="1541" t="n">
        <x:f>ROUND(D199*E199,2)</x:f>
        <x:v>1063.06</x:v>
      </x:c>
      <x:c r="G199" s="1544">
        <x:v>0</x:v>
      </x:c>
      <x:c r="H199" s="579">
        <x:v>0</x:v>
      </x:c>
      <x:c r="I199" s="1544" t="n">
        <x:f>G199+H199</x:f>
        <x:v>0</x:v>
      </x:c>
      <x:c r="J199" s="586">
        <x:v>0</x:v>
      </x:c>
      <x:c r="K199" s="586" t="n">
        <x:f>ROUND(H199*E199,2)</x:f>
        <x:v>0</x:v>
      </x:c>
      <x:c r="L199" s="586" t="n">
        <x:f>J199+K199</x:f>
        <x:v>0</x:v>
      </x:c>
      <x:c r="M199" s="1547" t="n">
        <x:f>IF(D199=0,0,I199/D199)</x:f>
        <x:v>0</x:v>
      </x:c>
    </x:row>
    <x:row r="200" ht="31" customHeight="1">
      <x:c r="A200" s="1824" t="s">
        <x:v>404</x:v>
      </x:c>
      <x:c r="B200" s="1823" t="s">
        <x:v>405</x:v>
      </x:c>
      <x:c r="C200" s="248" t="s">
        <x:v>73</x:v>
      </x:c>
      <x:c r="D200" s="1539">
        <x:v>4</x:v>
      </x:c>
      <x:c r="E200" s="1542">
        <x:v>134.99</x:v>
      </x:c>
      <x:c r="F200" s="1542" t="n">
        <x:f>ROUND(D200*E200,2)</x:f>
        <x:v>539.96</x:v>
      </x:c>
      <x:c r="G200" s="1545">
        <x:v>0</x:v>
      </x:c>
      <x:c r="H200" s="579">
        <x:v>0</x:v>
      </x:c>
      <x:c r="I200" s="1545" t="n">
        <x:f>G200+H200</x:f>
        <x:v>0</x:v>
      </x:c>
      <x:c r="J200" s="586">
        <x:v>0</x:v>
      </x:c>
      <x:c r="K200" s="586" t="n">
        <x:f>ROUND(H200*E200,2)</x:f>
        <x:v>0</x:v>
      </x:c>
      <x:c r="L200" s="586" t="n">
        <x:f>J200+K200</x:f>
        <x:v>0</x:v>
      </x:c>
      <x:c r="M200" s="1548" t="n">
        <x:f>IF(D200=0,0,I200/D200)</x:f>
        <x:v>0</x:v>
      </x:c>
    </x:row>
    <x:row r="201" ht="43" customHeight="1">
      <x:c r="A201" s="1822" t="s">
        <x:v>406</x:v>
      </x:c>
      <x:c r="B201" s="1821" t="s">
        <x:v>407</x:v>
      </x:c>
      <x:c r="C201" s="1500" t="s">
        <x:v>73</x:v>
      </x:c>
      <x:c r="D201" s="1538">
        <x:v>8</x:v>
      </x:c>
      <x:c r="E201" s="1541">
        <x:v>7.69</x:v>
      </x:c>
      <x:c r="F201" s="1541" t="n">
        <x:f>ROUND(D201*E201,2)</x:f>
        <x:v>61.52</x:v>
      </x:c>
      <x:c r="G201" s="1544">
        <x:v>0</x:v>
      </x:c>
      <x:c r="H201" s="579">
        <x:v>0</x:v>
      </x:c>
      <x:c r="I201" s="1544" t="n">
        <x:f>G201+H201</x:f>
        <x:v>0</x:v>
      </x:c>
      <x:c r="J201" s="586">
        <x:v>0</x:v>
      </x:c>
      <x:c r="K201" s="586" t="n">
        <x:f>ROUND(H201*E201,2)</x:f>
        <x:v>0</x:v>
      </x:c>
      <x:c r="L201" s="586" t="n">
        <x:f>J201+K201</x:f>
        <x:v>0</x:v>
      </x:c>
      <x:c r="M201" s="1547" t="n">
        <x:f>IF(D201=0,0,I201/D201)</x:f>
        <x:v>0</x:v>
      </x:c>
    </x:row>
    <x:row r="202" ht="31" customHeight="1">
      <x:c r="A202" s="1824" t="s">
        <x:v>408</x:v>
      </x:c>
      <x:c r="B202" s="1823" t="s">
        <x:v>409</x:v>
      </x:c>
      <x:c r="C202" s="248" t="s">
        <x:v>73</x:v>
      </x:c>
      <x:c r="D202" s="1539">
        <x:v>13</x:v>
      </x:c>
      <x:c r="E202" s="1542">
        <x:v>13.86</x:v>
      </x:c>
      <x:c r="F202" s="1542" t="n">
        <x:f>ROUND(D202*E202,2)</x:f>
        <x:v>180.18</x:v>
      </x:c>
      <x:c r="G202" s="1545">
        <x:v>0</x:v>
      </x:c>
      <x:c r="H202" s="579">
        <x:v>0</x:v>
      </x:c>
      <x:c r="I202" s="1545" t="n">
        <x:f>G202+H202</x:f>
        <x:v>0</x:v>
      </x:c>
      <x:c r="J202" s="586">
        <x:v>0</x:v>
      </x:c>
      <x:c r="K202" s="586" t="n">
        <x:f>ROUND(H202*E202,2)</x:f>
        <x:v>0</x:v>
      </x:c>
      <x:c r="L202" s="586" t="n">
        <x:f>J202+K202</x:f>
        <x:v>0</x:v>
      </x:c>
      <x:c r="M202" s="1548" t="n">
        <x:f>IF(D202=0,0,I202/D202)</x:f>
        <x:v>0</x:v>
      </x:c>
    </x:row>
    <x:row r="203" ht="31" customHeight="1">
      <x:c r="A203" s="1822" t="s">
        <x:v>410</x:v>
      </x:c>
      <x:c r="B203" s="1821" t="s">
        <x:v>411</x:v>
      </x:c>
      <x:c r="C203" s="1500" t="s">
        <x:v>73</x:v>
      </x:c>
      <x:c r="D203" s="1538">
        <x:v>6</x:v>
      </x:c>
      <x:c r="E203" s="1541">
        <x:v>20.68</x:v>
      </x:c>
      <x:c r="F203" s="1541" t="n">
        <x:f>ROUND(D203*E203,2)</x:f>
        <x:v>124.08</x:v>
      </x:c>
      <x:c r="G203" s="1544">
        <x:v>0</x:v>
      </x:c>
      <x:c r="H203" s="579">
        <x:v>0</x:v>
      </x:c>
      <x:c r="I203" s="1544" t="n">
        <x:f>G203+H203</x:f>
        <x:v>0</x:v>
      </x:c>
      <x:c r="J203" s="586">
        <x:v>0</x:v>
      </x:c>
      <x:c r="K203" s="586" t="n">
        <x:f>ROUND(H203*E203,2)</x:f>
        <x:v>0</x:v>
      </x:c>
      <x:c r="L203" s="586" t="n">
        <x:f>J203+K203</x:f>
        <x:v>0</x:v>
      </x:c>
      <x:c r="M203" s="1547" t="n">
        <x:f>IF(D203=0,0,I203/D203)</x:f>
        <x:v>0</x:v>
      </x:c>
    </x:row>
    <x:row r="204" ht="43" customHeight="1">
      <x:c r="A204" s="1824" t="s">
        <x:v>412</x:v>
      </x:c>
      <x:c r="B204" s="1823" t="s">
        <x:v>413</x:v>
      </x:c>
      <x:c r="C204" s="248" t="s">
        <x:v>73</x:v>
      </x:c>
      <x:c r="D204" s="1539">
        <x:v>11</x:v>
      </x:c>
      <x:c r="E204" s="1542">
        <x:v>12.31</x:v>
      </x:c>
      <x:c r="F204" s="1542" t="n">
        <x:f>ROUND(D204*E204,2)</x:f>
        <x:v>135.41</x:v>
      </x:c>
      <x:c r="G204" s="1545">
        <x:v>0</x:v>
      </x:c>
      <x:c r="H204" s="579">
        <x:v>0</x:v>
      </x:c>
      <x:c r="I204" s="1545" t="n">
        <x:f>G204+H204</x:f>
        <x:v>0</x:v>
      </x:c>
      <x:c r="J204" s="586">
        <x:v>0</x:v>
      </x:c>
      <x:c r="K204" s="586" t="n">
        <x:f>ROUND(H204*E204,2)</x:f>
        <x:v>0</x:v>
      </x:c>
      <x:c r="L204" s="586" t="n">
        <x:f>J204+K204</x:f>
        <x:v>0</x:v>
      </x:c>
      <x:c r="M204" s="1548" t="n">
        <x:f>IF(D204=0,0,I204/D204)</x:f>
        <x:v>0</x:v>
      </x:c>
    </x:row>
    <x:row r="205" ht="43" customHeight="1">
      <x:c r="A205" s="1822" t="s">
        <x:v>414</x:v>
      </x:c>
      <x:c r="B205" s="1821" t="s">
        <x:v>415</x:v>
      </x:c>
      <x:c r="C205" s="1500" t="s">
        <x:v>73</x:v>
      </x:c>
      <x:c r="D205" s="1538">
        <x:v>3</x:v>
      </x:c>
      <x:c r="E205" s="1541">
        <x:v>12.69</x:v>
      </x:c>
      <x:c r="F205" s="1541" t="n">
        <x:f>ROUND(D205*E205,2)</x:f>
        <x:v>38.07</x:v>
      </x:c>
      <x:c r="G205" s="1544">
        <x:v>0</x:v>
      </x:c>
      <x:c r="H205" s="579">
        <x:v>0</x:v>
      </x:c>
      <x:c r="I205" s="1544" t="n">
        <x:f>G205+H205</x:f>
        <x:v>0</x:v>
      </x:c>
      <x:c r="J205" s="586">
        <x:v>0</x:v>
      </x:c>
      <x:c r="K205" s="586" t="n">
        <x:f>ROUND(H205*E205,2)</x:f>
        <x:v>0</x:v>
      </x:c>
      <x:c r="L205" s="586" t="n">
        <x:f>J205+K205</x:f>
        <x:v>0</x:v>
      </x:c>
      <x:c r="M205" s="1547" t="n">
        <x:f>IF(D205=0,0,I205/D205)</x:f>
        <x:v>0</x:v>
      </x:c>
    </x:row>
    <x:row r="206" ht="31" customHeight="1">
      <x:c r="A206" s="1824" t="s">
        <x:v>416</x:v>
      </x:c>
      <x:c r="B206" s="1823" t="s">
        <x:v>417</x:v>
      </x:c>
      <x:c r="C206" s="248" t="s">
        <x:v>152</x:v>
      </x:c>
      <x:c r="D206" s="1539">
        <x:v>40</x:v>
      </x:c>
      <x:c r="E206" s="1542">
        <x:v>15.51</x:v>
      </x:c>
      <x:c r="F206" s="1542" t="n">
        <x:f>ROUND(D206*E206,2)</x:f>
        <x:v>620.4</x:v>
      </x:c>
      <x:c r="G206" s="1545">
        <x:v>0</x:v>
      </x:c>
      <x:c r="H206" s="579">
        <x:v>0</x:v>
      </x:c>
      <x:c r="I206" s="1545" t="n">
        <x:f>G206+H206</x:f>
        <x:v>0</x:v>
      </x:c>
      <x:c r="J206" s="586">
        <x:v>0</x:v>
      </x:c>
      <x:c r="K206" s="586" t="n">
        <x:f>ROUND(H206*E206,2)</x:f>
        <x:v>0</x:v>
      </x:c>
      <x:c r="L206" s="586" t="n">
        <x:f>J206+K206</x:f>
        <x:v>0</x:v>
      </x:c>
      <x:c r="M206" s="1548" t="n">
        <x:f>IF(D206=0,0,I206/D206)</x:f>
        <x:v>0</x:v>
      </x:c>
    </x:row>
    <x:row r="207" ht="31" customHeight="1">
      <x:c r="A207" s="1822" t="s">
        <x:v>418</x:v>
      </x:c>
      <x:c r="B207" s="1821" t="s">
        <x:v>419</x:v>
      </x:c>
      <x:c r="C207" s="1500" t="s">
        <x:v>152</x:v>
      </x:c>
      <x:c r="D207" s="1538">
        <x:v>95</x:v>
      </x:c>
      <x:c r="E207" s="1541">
        <x:v>24.15</x:v>
      </x:c>
      <x:c r="F207" s="1541" t="n">
        <x:f>ROUND(D207*E207,2)</x:f>
        <x:v>2294.25</x:v>
      </x:c>
      <x:c r="G207" s="1544">
        <x:v>0</x:v>
      </x:c>
      <x:c r="H207" s="579">
        <x:v>0</x:v>
      </x:c>
      <x:c r="I207" s="1544" t="n">
        <x:f>G207+H207</x:f>
        <x:v>0</x:v>
      </x:c>
      <x:c r="J207" s="586">
        <x:v>0</x:v>
      </x:c>
      <x:c r="K207" s="586" t="n">
        <x:f>ROUND(H207*E207,2)</x:f>
        <x:v>0</x:v>
      </x:c>
      <x:c r="L207" s="586" t="n">
        <x:f>J207+K207</x:f>
        <x:v>0</x:v>
      </x:c>
      <x:c r="M207" s="1547" t="n">
        <x:f>IF(D207=0,0,I207/D207)</x:f>
        <x:v>0</x:v>
      </x:c>
    </x:row>
    <x:row r="208" ht="31" customHeight="1">
      <x:c r="A208" s="1824" t="s">
        <x:v>420</x:v>
      </x:c>
      <x:c r="B208" s="1823" t="s">
        <x:v>421</x:v>
      </x:c>
      <x:c r="C208" s="248" t="s">
        <x:v>73</x:v>
      </x:c>
      <x:c r="D208" s="1539">
        <x:v>3</x:v>
      </x:c>
      <x:c r="E208" s="1542">
        <x:v>13.15</x:v>
      </x:c>
      <x:c r="F208" s="1542" t="n">
        <x:f>ROUND(D208*E208,2)</x:f>
        <x:v>39.45</x:v>
      </x:c>
      <x:c r="G208" s="1545">
        <x:v>0</x:v>
      </x:c>
      <x:c r="H208" s="579">
        <x:v>0</x:v>
      </x:c>
      <x:c r="I208" s="1545" t="n">
        <x:f>G208+H208</x:f>
        <x:v>0</x:v>
      </x:c>
      <x:c r="J208" s="586">
        <x:v>0</x:v>
      </x:c>
      <x:c r="K208" s="586" t="n">
        <x:f>ROUND(H208*E208,2)</x:f>
        <x:v>0</x:v>
      </x:c>
      <x:c r="L208" s="586" t="n">
        <x:f>J208+K208</x:f>
        <x:v>0</x:v>
      </x:c>
      <x:c r="M208" s="1548" t="n">
        <x:f>IF(D208=0,0,I208/D208)</x:f>
        <x:v>0</x:v>
      </x:c>
    </x:row>
    <x:row r="209" ht="31" customHeight="1">
      <x:c r="A209" s="1822" t="s">
        <x:v>422</x:v>
      </x:c>
      <x:c r="B209" s="1821" t="s">
        <x:v>423</x:v>
      </x:c>
      <x:c r="C209" s="1500" t="s">
        <x:v>73</x:v>
      </x:c>
      <x:c r="D209" s="1538">
        <x:v>6</x:v>
      </x:c>
      <x:c r="E209" s="1541">
        <x:v>15.03</x:v>
      </x:c>
      <x:c r="F209" s="1541" t="n">
        <x:f>ROUND(D209*E209,2)</x:f>
        <x:v>90.18</x:v>
      </x:c>
      <x:c r="G209" s="1544">
        <x:v>0</x:v>
      </x:c>
      <x:c r="H209" s="579">
        <x:v>0</x:v>
      </x:c>
      <x:c r="I209" s="1544" t="n">
        <x:f>G209+H209</x:f>
        <x:v>0</x:v>
      </x:c>
      <x:c r="J209" s="586">
        <x:v>0</x:v>
      </x:c>
      <x:c r="K209" s="586" t="n">
        <x:f>ROUND(H209*E209,2)</x:f>
        <x:v>0</x:v>
      </x:c>
      <x:c r="L209" s="586" t="n">
        <x:f>J209+K209</x:f>
        <x:v>0</x:v>
      </x:c>
      <x:c r="M209" s="1547" t="n">
        <x:f>IF(D209=0,0,I209/D209)</x:f>
        <x:v>0</x:v>
      </x:c>
    </x:row>
    <x:row r="210" ht="31" customHeight="1">
      <x:c r="A210" s="1824" t="s">
        <x:v>424</x:v>
      </x:c>
      <x:c r="B210" s="1823" t="s">
        <x:v>425</x:v>
      </x:c>
      <x:c r="C210" s="248" t="s">
        <x:v>73</x:v>
      </x:c>
      <x:c r="D210" s="1539">
        <x:v>9</x:v>
      </x:c>
      <x:c r="E210" s="1542">
        <x:v>21.45</x:v>
      </x:c>
      <x:c r="F210" s="1542" t="n">
        <x:f>ROUND(D210*E210,2)</x:f>
        <x:v>193.05</x:v>
      </x:c>
      <x:c r="G210" s="1545">
        <x:v>0</x:v>
      </x:c>
      <x:c r="H210" s="579">
        <x:v>0</x:v>
      </x:c>
      <x:c r="I210" s="1545" t="n">
        <x:f>G210+H210</x:f>
        <x:v>0</x:v>
      </x:c>
      <x:c r="J210" s="586">
        <x:v>0</x:v>
      </x:c>
      <x:c r="K210" s="586" t="n">
        <x:f>ROUND(H210*E210,2)</x:f>
        <x:v>0</x:v>
      </x:c>
      <x:c r="L210" s="586" t="n">
        <x:f>J210+K210</x:f>
        <x:v>0</x:v>
      </x:c>
      <x:c r="M210" s="1548" t="n">
        <x:f>IF(D210=0,0,I210/D210)</x:f>
        <x:v>0</x:v>
      </x:c>
    </x:row>
    <x:row r="211" ht="43" customHeight="1">
      <x:c r="A211" s="1822" t="s">
        <x:v>426</x:v>
      </x:c>
      <x:c r="B211" s="1821" t="s">
        <x:v>427</x:v>
      </x:c>
      <x:c r="C211" s="1500" t="s">
        <x:v>73</x:v>
      </x:c>
      <x:c r="D211" s="1538">
        <x:v>9</x:v>
      </x:c>
      <x:c r="E211" s="1541">
        <x:v>9.21</x:v>
      </x:c>
      <x:c r="F211" s="1541" t="n">
        <x:f>ROUND(D211*E211,2)</x:f>
        <x:v>82.89</x:v>
      </x:c>
      <x:c r="G211" s="1544">
        <x:v>0</x:v>
      </x:c>
      <x:c r="H211" s="579">
        <x:v>0</x:v>
      </x:c>
      <x:c r="I211" s="1544" t="n">
        <x:f>G211+H211</x:f>
        <x:v>0</x:v>
      </x:c>
      <x:c r="J211" s="586">
        <x:v>0</x:v>
      </x:c>
      <x:c r="K211" s="586" t="n">
        <x:f>ROUND(H211*E211,2)</x:f>
        <x:v>0</x:v>
      </x:c>
      <x:c r="L211" s="586" t="n">
        <x:f>J211+K211</x:f>
        <x:v>0</x:v>
      </x:c>
      <x:c r="M211" s="1547" t="n">
        <x:f>IF(D211=0,0,I211/D211)</x:f>
        <x:v>0</x:v>
      </x:c>
    </x:row>
    <x:row r="212" ht="31" customHeight="1">
      <x:c r="A212" s="1824" t="s">
        <x:v>428</x:v>
      </x:c>
      <x:c r="B212" s="1823" t="s">
        <x:v>429</x:v>
      </x:c>
      <x:c r="C212" s="248" t="s">
        <x:v>73</x:v>
      </x:c>
      <x:c r="D212" s="1539">
        <x:v>3</x:v>
      </x:c>
      <x:c r="E212" s="1542">
        <x:v>11.44</x:v>
      </x:c>
      <x:c r="F212" s="1542" t="n">
        <x:f>ROUND(D212*E212,2)</x:f>
        <x:v>34.32</x:v>
      </x:c>
      <x:c r="G212" s="1545">
        <x:v>0</x:v>
      </x:c>
      <x:c r="H212" s="579">
        <x:v>0</x:v>
      </x:c>
      <x:c r="I212" s="1545" t="n">
        <x:f>G212+H212</x:f>
        <x:v>0</x:v>
      </x:c>
      <x:c r="J212" s="586">
        <x:v>0</x:v>
      </x:c>
      <x:c r="K212" s="586" t="n">
        <x:f>ROUND(H212*E212,2)</x:f>
        <x:v>0</x:v>
      </x:c>
      <x:c r="L212" s="586" t="n">
        <x:f>J212+K212</x:f>
        <x:v>0</x:v>
      </x:c>
      <x:c r="M212" s="1548" t="n">
        <x:f>IF(D212=0,0,I212/D212)</x:f>
        <x:v>0</x:v>
      </x:c>
    </x:row>
    <x:row r="213" ht="43" customHeight="1">
      <x:c r="A213" s="1822" t="s">
        <x:v>430</x:v>
      </x:c>
      <x:c r="B213" s="1821" t="s">
        <x:v>431</x:v>
      </x:c>
      <x:c r="C213" s="1500" t="s">
        <x:v>73</x:v>
      </x:c>
      <x:c r="D213" s="1538">
        <x:v>4</x:v>
      </x:c>
      <x:c r="E213" s="1541">
        <x:v>20.79</x:v>
      </x:c>
      <x:c r="F213" s="1541" t="n">
        <x:f>ROUND(D213*E213,2)</x:f>
        <x:v>83.16</x:v>
      </x:c>
      <x:c r="G213" s="1544">
        <x:v>0</x:v>
      </x:c>
      <x:c r="H213" s="579">
        <x:v>0</x:v>
      </x:c>
      <x:c r="I213" s="1544" t="n">
        <x:f>G213+H213</x:f>
        <x:v>0</x:v>
      </x:c>
      <x:c r="J213" s="586">
        <x:v>0</x:v>
      </x:c>
      <x:c r="K213" s="586" t="n">
        <x:f>ROUND(H213*E213,2)</x:f>
        <x:v>0</x:v>
      </x:c>
      <x:c r="L213" s="586" t="n">
        <x:f>J213+K213</x:f>
        <x:v>0</x:v>
      </x:c>
      <x:c r="M213" s="1547" t="n">
        <x:f>IF(D213=0,0,I213/D213)</x:f>
        <x:v>0</x:v>
      </x:c>
    </x:row>
    <x:row r="214" ht="43" customHeight="1">
      <x:c r="A214" s="1824" t="s">
        <x:v>432</x:v>
      </x:c>
      <x:c r="B214" s="1823" t="s">
        <x:v>433</x:v>
      </x:c>
      <x:c r="C214" s="248" t="s">
        <x:v>73</x:v>
      </x:c>
      <x:c r="D214" s="1539">
        <x:v>6</x:v>
      </x:c>
      <x:c r="E214" s="1542">
        <x:v>16.52</x:v>
      </x:c>
      <x:c r="F214" s="1542" t="n">
        <x:f>ROUND(D214*E214,2)</x:f>
        <x:v>99.12</x:v>
      </x:c>
      <x:c r="G214" s="1545">
        <x:v>0</x:v>
      </x:c>
      <x:c r="H214" s="579">
        <x:v>0</x:v>
      </x:c>
      <x:c r="I214" s="1545" t="n">
        <x:f>G214+H214</x:f>
        <x:v>0</x:v>
      </x:c>
      <x:c r="J214" s="586">
        <x:v>0</x:v>
      </x:c>
      <x:c r="K214" s="586" t="n">
        <x:f>ROUND(H214*E214,2)</x:f>
        <x:v>0</x:v>
      </x:c>
      <x:c r="L214" s="586" t="n">
        <x:f>J214+K214</x:f>
        <x:v>0</x:v>
      </x:c>
      <x:c r="M214" s="1548" t="n">
        <x:f>IF(D214=0,0,I214/D214)</x:f>
        <x:v>0</x:v>
      </x:c>
    </x:row>
    <x:row r="215" ht="23" customHeight="1">
      <x:c r="A215" s="514" t="s">
        <x:v>434</x:v>
      </x:c>
      <x:c r="B215" s="515" t="s">
        <x:v>435</x:v>
      </x:c>
      <x:c r="C215" s="1817"/>
      <x:c r="D215" s="1818"/>
      <x:c r="E215" s="1819"/>
      <x:c r="F215" s="1819"/>
      <x:c r="G215" s="1818"/>
      <x:c r="H215" s="1818"/>
      <x:c r="I215" s="1818"/>
      <x:c r="J215" s="1819"/>
      <x:c r="K215" s="1819"/>
      <x:c r="L215" s="1819"/>
      <x:c r="M215" s="1820"/>
    </x:row>
    <x:row r="216" ht="23" customHeight="1">
      <x:c r="A216" s="538" t="s">
        <x:v>436</x:v>
      </x:c>
      <x:c r="B216" s="539" t="s">
        <x:v>437</x:v>
      </x:c>
      <x:c r="C216" s="1825"/>
      <x:c r="D216" s="1826"/>
      <x:c r="E216" s="1827"/>
      <x:c r="F216" s="1827"/>
      <x:c r="G216" s="1826"/>
      <x:c r="H216" s="1826"/>
      <x:c r="I216" s="1826"/>
      <x:c r="J216" s="1827"/>
      <x:c r="K216" s="1827"/>
      <x:c r="L216" s="1827"/>
      <x:c r="M216" s="1828"/>
    </x:row>
    <x:row r="217" ht="31" customHeight="1">
      <x:c r="A217" s="1822" t="s">
        <x:v>438</x:v>
      </x:c>
      <x:c r="B217" s="1821" t="s">
        <x:v>439</x:v>
      </x:c>
      <x:c r="C217" s="1500" t="s">
        <x:v>65</x:v>
      </x:c>
      <x:c r="D217" s="1538">
        <x:v>5.23</x:v>
      </x:c>
      <x:c r="E217" s="1541">
        <x:v>112.47</x:v>
      </x:c>
      <x:c r="F217" s="1541" t="n">
        <x:f>ROUND(D217*E217,2)</x:f>
        <x:v>588.22</x:v>
      </x:c>
      <x:c r="G217" s="1544">
        <x:v>0</x:v>
      </x:c>
      <x:c r="H217" s="579">
        <x:v>0</x:v>
      </x:c>
      <x:c r="I217" s="1544" t="n">
        <x:f>G217+H217</x:f>
        <x:v>0</x:v>
      </x:c>
      <x:c r="J217" s="586">
        <x:v>0</x:v>
      </x:c>
      <x:c r="K217" s="586" t="n">
        <x:f>ROUND(H217*E217,2)</x:f>
        <x:v>0</x:v>
      </x:c>
      <x:c r="L217" s="586" t="n">
        <x:f>J217+K217</x:f>
        <x:v>0</x:v>
      </x:c>
      <x:c r="M217" s="1547" t="n">
        <x:f>IF(D217=0,0,I217/D217)</x:f>
        <x:v>0</x:v>
      </x:c>
    </x:row>
    <x:row r="218" ht="43" customHeight="1">
      <x:c r="A218" s="1824" t="s">
        <x:v>440</x:v>
      </x:c>
      <x:c r="B218" s="1823" t="s">
        <x:v>441</x:v>
      </x:c>
      <x:c r="C218" s="248" t="s">
        <x:v>62</x:v>
      </x:c>
      <x:c r="D218" s="1539">
        <x:v>0.85</x:v>
      </x:c>
      <x:c r="E218" s="1542">
        <x:v>773.06</x:v>
      </x:c>
      <x:c r="F218" s="1542" t="n">
        <x:f>ROUND(D218*E218,2)</x:f>
        <x:v>657.1</x:v>
      </x:c>
      <x:c r="G218" s="1545">
        <x:v>0</x:v>
      </x:c>
      <x:c r="H218" s="579">
        <x:v>0</x:v>
      </x:c>
      <x:c r="I218" s="1545" t="n">
        <x:f>G218+H218</x:f>
        <x:v>0</x:v>
      </x:c>
      <x:c r="J218" s="586">
        <x:v>0</x:v>
      </x:c>
      <x:c r="K218" s="586" t="n">
        <x:f>ROUND(H218*E218,2)</x:f>
        <x:v>0</x:v>
      </x:c>
      <x:c r="L218" s="586" t="n">
        <x:f>J218+K218</x:f>
        <x:v>0</x:v>
      </x:c>
      <x:c r="M218" s="1548" t="n">
        <x:f>IF(D218=0,0,I218/D218)</x:f>
        <x:v>0</x:v>
      </x:c>
    </x:row>
    <x:row r="219" ht="31" customHeight="1">
      <x:c r="A219" s="1822" t="s">
        <x:v>442</x:v>
      </x:c>
      <x:c r="B219" s="1821" t="s">
        <x:v>443</x:v>
      </x:c>
      <x:c r="C219" s="1500" t="s">
        <x:v>62</x:v>
      </x:c>
      <x:c r="D219" s="1538">
        <x:v>0.85</x:v>
      </x:c>
      <x:c r="E219" s="1541">
        <x:v>364.3</x:v>
      </x:c>
      <x:c r="F219" s="1541" t="n">
        <x:f>ROUND(D219*E219,2)</x:f>
        <x:v>309.66</x:v>
      </x:c>
      <x:c r="G219" s="1544">
        <x:v>0</x:v>
      </x:c>
      <x:c r="H219" s="579">
        <x:v>0</x:v>
      </x:c>
      <x:c r="I219" s="1544" t="n">
        <x:f>G219+H219</x:f>
        <x:v>0</x:v>
      </x:c>
      <x:c r="J219" s="586">
        <x:v>0</x:v>
      </x:c>
      <x:c r="K219" s="586" t="n">
        <x:f>ROUND(H219*E219,2)</x:f>
        <x:v>0</x:v>
      </x:c>
      <x:c r="L219" s="586" t="n">
        <x:f>J219+K219</x:f>
        <x:v>0</x:v>
      </x:c>
      <x:c r="M219" s="1547" t="n">
        <x:f>IF(D219=0,0,I219/D219)</x:f>
        <x:v>0</x:v>
      </x:c>
    </x:row>
    <x:row r="220" ht="31" customHeight="1">
      <x:c r="A220" s="1824" t="s">
        <x:v>444</x:v>
      </x:c>
      <x:c r="B220" s="1823" t="s">
        <x:v>445</x:v>
      </x:c>
      <x:c r="C220" s="248" t="s">
        <x:v>446</x:v>
      </x:c>
      <x:c r="D220" s="1539">
        <x:v>53.22</x:v>
      </x:c>
      <x:c r="E220" s="1542">
        <x:v>14.85</x:v>
      </x:c>
      <x:c r="F220" s="1542" t="n">
        <x:f>ROUND(D220*E220,2)</x:f>
        <x:v>790.32</x:v>
      </x:c>
      <x:c r="G220" s="1545">
        <x:v>0</x:v>
      </x:c>
      <x:c r="H220" s="579">
        <x:v>0</x:v>
      </x:c>
      <x:c r="I220" s="1545" t="n">
        <x:f>G220+H220</x:f>
        <x:v>0</x:v>
      </x:c>
      <x:c r="J220" s="586">
        <x:v>0</x:v>
      </x:c>
      <x:c r="K220" s="586" t="n">
        <x:f>ROUND(H220*E220,2)</x:f>
        <x:v>0</x:v>
      </x:c>
      <x:c r="L220" s="586" t="n">
        <x:f>J220+K220</x:f>
        <x:v>0</x:v>
      </x:c>
      <x:c r="M220" s="1548" t="n">
        <x:f>IF(D220=0,0,I220/D220)</x:f>
        <x:v>0</x:v>
      </x:c>
    </x:row>
    <x:row r="221" ht="31" customHeight="1">
      <x:c r="A221" s="1822" t="s">
        <x:v>447</x:v>
      </x:c>
      <x:c r="B221" s="1821" t="s">
        <x:v>448</x:v>
      </x:c>
      <x:c r="C221" s="1500" t="s">
        <x:v>446</x:v>
      </x:c>
      <x:c r="D221" s="1538">
        <x:v>5.2</x:v>
      </x:c>
      <x:c r="E221" s="1541">
        <x:v>19.61</x:v>
      </x:c>
      <x:c r="F221" s="1541" t="n">
        <x:f>ROUND(D221*E221,2)</x:f>
        <x:v>101.97</x:v>
      </x:c>
      <x:c r="G221" s="1544">
        <x:v>0</x:v>
      </x:c>
      <x:c r="H221" s="579">
        <x:v>0</x:v>
      </x:c>
      <x:c r="I221" s="1544" t="n">
        <x:f>G221+H221</x:f>
        <x:v>0</x:v>
      </x:c>
      <x:c r="J221" s="586">
        <x:v>0</x:v>
      </x:c>
      <x:c r="K221" s="586" t="n">
        <x:f>ROUND(H221*E221,2)</x:f>
        <x:v>0</x:v>
      </x:c>
      <x:c r="L221" s="586" t="n">
        <x:f>J221+K221</x:f>
        <x:v>0</x:v>
      </x:c>
      <x:c r="M221" s="1547" t="n">
        <x:f>IF(D221=0,0,I221/D221)</x:f>
        <x:v>0</x:v>
      </x:c>
    </x:row>
    <x:row r="222" ht="23" customHeight="1">
      <x:c r="A222" s="538" t="s">
        <x:v>449</x:v>
      </x:c>
      <x:c r="B222" s="539" t="s">
        <x:v>450</x:v>
      </x:c>
      <x:c r="C222" s="1825"/>
      <x:c r="D222" s="1826"/>
      <x:c r="E222" s="1827"/>
      <x:c r="F222" s="1827"/>
      <x:c r="G222" s="1826"/>
      <x:c r="H222" s="1826"/>
      <x:c r="I222" s="1826"/>
      <x:c r="J222" s="1827"/>
      <x:c r="K222" s="1827"/>
      <x:c r="L222" s="1827"/>
      <x:c r="M222" s="1828"/>
    </x:row>
    <x:row r="223" ht="43" customHeight="1">
      <x:c r="A223" s="1824" t="s">
        <x:v>451</x:v>
      </x:c>
      <x:c r="B223" s="1823" t="s">
        <x:v>452</x:v>
      </x:c>
      <x:c r="C223" s="248" t="s">
        <x:v>65</x:v>
      </x:c>
      <x:c r="D223" s="1539">
        <x:v>8.08</x:v>
      </x:c>
      <x:c r="E223" s="1542">
        <x:v>113.16</x:v>
      </x:c>
      <x:c r="F223" s="1542" t="n">
        <x:f>ROUND(D223*E223,2)</x:f>
        <x:v>914.33</x:v>
      </x:c>
      <x:c r="G223" s="1545">
        <x:v>0</x:v>
      </x:c>
      <x:c r="H223" s="579">
        <x:v>0</x:v>
      </x:c>
      <x:c r="I223" s="1545" t="n">
        <x:f>G223+H223</x:f>
        <x:v>0</x:v>
      </x:c>
      <x:c r="J223" s="586">
        <x:v>0</x:v>
      </x:c>
      <x:c r="K223" s="586" t="n">
        <x:f>ROUND(H223*E223,2)</x:f>
        <x:v>0</x:v>
      </x:c>
      <x:c r="L223" s="586" t="n">
        <x:f>J223+K223</x:f>
        <x:v>0</x:v>
      </x:c>
      <x:c r="M223" s="1548" t="n">
        <x:f>IF(D223=0,0,I223/D223)</x:f>
        <x:v>0</x:v>
      </x:c>
    </x:row>
    <x:row r="224" ht="43" customHeight="1">
      <x:c r="A224" s="1822" t="s">
        <x:v>453</x:v>
      </x:c>
      <x:c r="B224" s="1821" t="s">
        <x:v>454</x:v>
      </x:c>
      <x:c r="C224" s="1500" t="s">
        <x:v>62</x:v>
      </x:c>
      <x:c r="D224" s="1538">
        <x:v>0.46</x:v>
      </x:c>
      <x:c r="E224" s="1541">
        <x:v>773.06</x:v>
      </x:c>
      <x:c r="F224" s="1541" t="n">
        <x:f>ROUND(D224*E224,2)</x:f>
        <x:v>355.61</x:v>
      </x:c>
      <x:c r="G224" s="1544">
        <x:v>0</x:v>
      </x:c>
      <x:c r="H224" s="579">
        <x:v>0</x:v>
      </x:c>
      <x:c r="I224" s="1544" t="n">
        <x:f>G224+H224</x:f>
        <x:v>0</x:v>
      </x:c>
      <x:c r="J224" s="586">
        <x:v>0</x:v>
      </x:c>
      <x:c r="K224" s="586" t="n">
        <x:f>ROUND(H224*E224,2)</x:f>
        <x:v>0</x:v>
      </x:c>
      <x:c r="L224" s="586" t="n">
        <x:f>J224+K224</x:f>
        <x:v>0</x:v>
      </x:c>
      <x:c r="M224" s="1547" t="n">
        <x:f>IF(D224=0,0,I224/D224)</x:f>
        <x:v>0</x:v>
      </x:c>
    </x:row>
    <x:row r="225" ht="31" customHeight="1">
      <x:c r="A225" s="1824" t="s">
        <x:v>455</x:v>
      </x:c>
      <x:c r="B225" s="1823" t="s">
        <x:v>443</x:v>
      </x:c>
      <x:c r="C225" s="248" t="s">
        <x:v>62</x:v>
      </x:c>
      <x:c r="D225" s="1539">
        <x:v>0.46</x:v>
      </x:c>
      <x:c r="E225" s="1542">
        <x:v>364.3</x:v>
      </x:c>
      <x:c r="F225" s="1542" t="n">
        <x:f>ROUND(D225*E225,2)</x:f>
        <x:v>167.58</x:v>
      </x:c>
      <x:c r="G225" s="1545">
        <x:v>0</x:v>
      </x:c>
      <x:c r="H225" s="579">
        <x:v>0</x:v>
      </x:c>
      <x:c r="I225" s="1545" t="n">
        <x:f>G225+H225</x:f>
        <x:v>0</x:v>
      </x:c>
      <x:c r="J225" s="586">
        <x:v>0</x:v>
      </x:c>
      <x:c r="K225" s="586" t="n">
        <x:f>ROUND(H225*E225,2)</x:f>
        <x:v>0</x:v>
      </x:c>
      <x:c r="L225" s="586" t="n">
        <x:f>J225+K225</x:f>
        <x:v>0</x:v>
      </x:c>
      <x:c r="M225" s="1548" t="n">
        <x:f>IF(D225=0,0,I225/D225)</x:f>
        <x:v>0</x:v>
      </x:c>
    </x:row>
    <x:row r="226" ht="43" customHeight="1">
      <x:c r="A226" s="1822" t="s">
        <x:v>456</x:v>
      </x:c>
      <x:c r="B226" s="1821" t="s">
        <x:v>457</x:v>
      </x:c>
      <x:c r="C226" s="1500" t="s">
        <x:v>446</x:v>
      </x:c>
      <x:c r="D226" s="1538">
        <x:v>33</x:v>
      </x:c>
      <x:c r="E226" s="1541">
        <x:v>12.81</x:v>
      </x:c>
      <x:c r="F226" s="1541" t="n">
        <x:f>ROUND(D226*E226,2)</x:f>
        <x:v>422.73</x:v>
      </x:c>
      <x:c r="G226" s="1544">
        <x:v>0</x:v>
      </x:c>
      <x:c r="H226" s="579">
        <x:v>0</x:v>
      </x:c>
      <x:c r="I226" s="1544" t="n">
        <x:f>G226+H226</x:f>
        <x:v>0</x:v>
      </x:c>
      <x:c r="J226" s="586">
        <x:v>0</x:v>
      </x:c>
      <x:c r="K226" s="586" t="n">
        <x:f>ROUND(H226*E226,2)</x:f>
        <x:v>0</x:v>
      </x:c>
      <x:c r="L226" s="586" t="n">
        <x:f>J226+K226</x:f>
        <x:v>0</x:v>
      </x:c>
      <x:c r="M226" s="1547" t="n">
        <x:f>IF(D226=0,0,I226/D226)</x:f>
        <x:v>0</x:v>
      </x:c>
    </x:row>
    <x:row r="227" ht="43" customHeight="1">
      <x:c r="A227" s="1824" t="s">
        <x:v>458</x:v>
      </x:c>
      <x:c r="B227" s="1823" t="s">
        <x:v>459</x:v>
      </x:c>
      <x:c r="C227" s="248" t="s">
        <x:v>446</x:v>
      </x:c>
      <x:c r="D227" s="1539">
        <x:v>9.6</x:v>
      </x:c>
      <x:c r="E227" s="1542">
        <x:v>16.41</x:v>
      </x:c>
      <x:c r="F227" s="1542" t="n">
        <x:f>ROUND(D227*E227,2)</x:f>
        <x:v>157.54</x:v>
      </x:c>
      <x:c r="G227" s="1545">
        <x:v>0</x:v>
      </x:c>
      <x:c r="H227" s="579">
        <x:v>0</x:v>
      </x:c>
      <x:c r="I227" s="1545" t="n">
        <x:f>G227+H227</x:f>
        <x:v>0</x:v>
      </x:c>
      <x:c r="J227" s="586">
        <x:v>0</x:v>
      </x:c>
      <x:c r="K227" s="586" t="n">
        <x:f>ROUND(H227*E227,2)</x:f>
        <x:v>0</x:v>
      </x:c>
      <x:c r="L227" s="586" t="n">
        <x:f>J227+K227</x:f>
        <x:v>0</x:v>
      </x:c>
      <x:c r="M227" s="1548" t="n">
        <x:f>IF(D227=0,0,I227/D227)</x:f>
        <x:v>0</x:v>
      </x:c>
    </x:row>
    <x:row r="228" ht="23" customHeight="1">
      <x:c r="A228" s="538" t="s">
        <x:v>460</x:v>
      </x:c>
      <x:c r="B228" s="539" t="s">
        <x:v>461</x:v>
      </x:c>
      <x:c r="C228" s="1825"/>
      <x:c r="D228" s="1826"/>
      <x:c r="E228" s="1827"/>
      <x:c r="F228" s="1827"/>
      <x:c r="G228" s="1826"/>
      <x:c r="H228" s="1826"/>
      <x:c r="I228" s="1826"/>
      <x:c r="J228" s="1827"/>
      <x:c r="K228" s="1827"/>
      <x:c r="L228" s="1827"/>
      <x:c r="M228" s="1828"/>
    </x:row>
    <x:row r="229" ht="43" customHeight="1">
      <x:c r="A229" s="1822" t="s">
        <x:v>462</x:v>
      </x:c>
      <x:c r="B229" s="1821" t="s">
        <x:v>452</x:v>
      </x:c>
      <x:c r="C229" s="1500" t="s">
        <x:v>65</x:v>
      </x:c>
      <x:c r="D229" s="1538">
        <x:v>8.03</x:v>
      </x:c>
      <x:c r="E229" s="1541">
        <x:v>113.16</x:v>
      </x:c>
      <x:c r="F229" s="1541" t="n">
        <x:f>ROUND(D229*E229,2)</x:f>
        <x:v>908.67</x:v>
      </x:c>
      <x:c r="G229" s="1544">
        <x:v>0</x:v>
      </x:c>
      <x:c r="H229" s="579">
        <x:v>0</x:v>
      </x:c>
      <x:c r="I229" s="1544" t="n">
        <x:f>G229+H229</x:f>
        <x:v>0</x:v>
      </x:c>
      <x:c r="J229" s="586">
        <x:v>0</x:v>
      </x:c>
      <x:c r="K229" s="586" t="n">
        <x:f>ROUND(H229*E229,2)</x:f>
        <x:v>0</x:v>
      </x:c>
      <x:c r="L229" s="586" t="n">
        <x:f>J229+K229</x:f>
        <x:v>0</x:v>
      </x:c>
      <x:c r="M229" s="1547" t="n">
        <x:f>IF(D229=0,0,I229/D229)</x:f>
        <x:v>0</x:v>
      </x:c>
    </x:row>
    <x:row r="230" ht="43" customHeight="1">
      <x:c r="A230" s="1824" t="s">
        <x:v>463</x:v>
      </x:c>
      <x:c r="B230" s="1823" t="s">
        <x:v>441</x:v>
      </x:c>
      <x:c r="C230" s="248" t="s">
        <x:v>62</x:v>
      </x:c>
      <x:c r="D230" s="1539">
        <x:v>0.46</x:v>
      </x:c>
      <x:c r="E230" s="1542">
        <x:v>773.06</x:v>
      </x:c>
      <x:c r="F230" s="1542" t="n">
        <x:f>ROUND(D230*E230,2)</x:f>
        <x:v>355.61</x:v>
      </x:c>
      <x:c r="G230" s="1545">
        <x:v>0</x:v>
      </x:c>
      <x:c r="H230" s="579">
        <x:v>0</x:v>
      </x:c>
      <x:c r="I230" s="1545" t="n">
        <x:f>G230+H230</x:f>
        <x:v>0</x:v>
      </x:c>
      <x:c r="J230" s="586">
        <x:v>0</x:v>
      </x:c>
      <x:c r="K230" s="586" t="n">
        <x:f>ROUND(H230*E230,2)</x:f>
        <x:v>0</x:v>
      </x:c>
      <x:c r="L230" s="586" t="n">
        <x:f>J230+K230</x:f>
        <x:v>0</x:v>
      </x:c>
      <x:c r="M230" s="1548" t="n">
        <x:f>IF(D230=0,0,I230/D230)</x:f>
        <x:v>0</x:v>
      </x:c>
    </x:row>
    <x:row r="231" ht="31" customHeight="1">
      <x:c r="A231" s="1822" t="s">
        <x:v>464</x:v>
      </x:c>
      <x:c r="B231" s="1821" t="s">
        <x:v>443</x:v>
      </x:c>
      <x:c r="C231" s="1500" t="s">
        <x:v>62</x:v>
      </x:c>
      <x:c r="D231" s="1538">
        <x:v>0.46</x:v>
      </x:c>
      <x:c r="E231" s="1541">
        <x:v>364.3</x:v>
      </x:c>
      <x:c r="F231" s="1541" t="n">
        <x:f>ROUND(D231*E231,2)</x:f>
        <x:v>167.58</x:v>
      </x:c>
      <x:c r="G231" s="1544">
        <x:v>0</x:v>
      </x:c>
      <x:c r="H231" s="579">
        <x:v>0</x:v>
      </x:c>
      <x:c r="I231" s="1544" t="n">
        <x:f>G231+H231</x:f>
        <x:v>0</x:v>
      </x:c>
      <x:c r="J231" s="586">
        <x:v>0</x:v>
      </x:c>
      <x:c r="K231" s="586" t="n">
        <x:f>ROUND(H231*E231,2)</x:f>
        <x:v>0</x:v>
      </x:c>
      <x:c r="L231" s="586" t="n">
        <x:f>J231+K231</x:f>
        <x:v>0</x:v>
      </x:c>
      <x:c r="M231" s="1547" t="n">
        <x:f>IF(D231=0,0,I231/D231)</x:f>
        <x:v>0</x:v>
      </x:c>
    </x:row>
    <x:row r="232" ht="43" customHeight="1">
      <x:c r="A232" s="1824" t="s">
        <x:v>465</x:v>
      </x:c>
      <x:c r="B232" s="1823" t="s">
        <x:v>457</x:v>
      </x:c>
      <x:c r="C232" s="248" t="s">
        <x:v>446</x:v>
      </x:c>
      <x:c r="D232" s="1539">
        <x:v>33</x:v>
      </x:c>
      <x:c r="E232" s="1542">
        <x:v>12.81</x:v>
      </x:c>
      <x:c r="F232" s="1542" t="n">
        <x:f>ROUND(D232*E232,2)</x:f>
        <x:v>422.73</x:v>
      </x:c>
      <x:c r="G232" s="1545">
        <x:v>0</x:v>
      </x:c>
      <x:c r="H232" s="579">
        <x:v>0</x:v>
      </x:c>
      <x:c r="I232" s="1545" t="n">
        <x:f>G232+H232</x:f>
        <x:v>0</x:v>
      </x:c>
      <x:c r="J232" s="586">
        <x:v>0</x:v>
      </x:c>
      <x:c r="K232" s="586" t="n">
        <x:f>ROUND(H232*E232,2)</x:f>
        <x:v>0</x:v>
      </x:c>
      <x:c r="L232" s="586" t="n">
        <x:f>J232+K232</x:f>
        <x:v>0</x:v>
      </x:c>
      <x:c r="M232" s="1548" t="n">
        <x:f>IF(D232=0,0,I232/D232)</x:f>
        <x:v>0</x:v>
      </x:c>
    </x:row>
    <x:row r="233" ht="43" customHeight="1">
      <x:c r="A233" s="1822" t="s">
        <x:v>466</x:v>
      </x:c>
      <x:c r="B233" s="1821" t="s">
        <x:v>459</x:v>
      </x:c>
      <x:c r="C233" s="1500" t="s">
        <x:v>446</x:v>
      </x:c>
      <x:c r="D233" s="1538">
        <x:v>9.5</x:v>
      </x:c>
      <x:c r="E233" s="1541">
        <x:v>16.41</x:v>
      </x:c>
      <x:c r="F233" s="1541" t="n">
        <x:f>ROUND(D233*E233,2)</x:f>
        <x:v>155.9</x:v>
      </x:c>
      <x:c r="G233" s="1544">
        <x:v>0</x:v>
      </x:c>
      <x:c r="H233" s="579">
        <x:v>0</x:v>
      </x:c>
      <x:c r="I233" s="1544" t="n">
        <x:f>G233+H233</x:f>
        <x:v>0</x:v>
      </x:c>
      <x:c r="J233" s="586">
        <x:v>0</x:v>
      </x:c>
      <x:c r="K233" s="586" t="n">
        <x:f>ROUND(H233*E233,2)</x:f>
        <x:v>0</x:v>
      </x:c>
      <x:c r="L233" s="586" t="n">
        <x:f>J233+K233</x:f>
        <x:v>0</x:v>
      </x:c>
      <x:c r="M233" s="1547" t="n">
        <x:f>IF(D233=0,0,I233/D233)</x:f>
        <x:v>0</x:v>
      </x:c>
    </x:row>
    <x:row r="234" ht="23" customHeight="1">
      <x:c r="A234" s="538" t="s">
        <x:v>467</x:v>
      </x:c>
      <x:c r="B234" s="539" t="s">
        <x:v>468</x:v>
      </x:c>
      <x:c r="C234" s="1825"/>
      <x:c r="D234" s="1826"/>
      <x:c r="E234" s="1827"/>
      <x:c r="F234" s="1827"/>
      <x:c r="G234" s="1826"/>
      <x:c r="H234" s="1826"/>
      <x:c r="I234" s="1826"/>
      <x:c r="J234" s="1827"/>
      <x:c r="K234" s="1827"/>
      <x:c r="L234" s="1827"/>
      <x:c r="M234" s="1828"/>
    </x:row>
    <x:row r="235" ht="31" customHeight="1">
      <x:c r="A235" s="1824" t="s">
        <x:v>469</x:v>
      </x:c>
      <x:c r="B235" s="1823" t="s">
        <x:v>470</x:v>
      </x:c>
      <x:c r="C235" s="248" t="s">
        <x:v>65</x:v>
      </x:c>
      <x:c r="D235" s="1539">
        <x:v>8.44</x:v>
      </x:c>
      <x:c r="E235" s="1542">
        <x:v>136.12</x:v>
      </x:c>
      <x:c r="F235" s="1542" t="n">
        <x:f>ROUND(D235*E235,2)</x:f>
        <x:v>1148.85</x:v>
      </x:c>
      <x:c r="G235" s="1545">
        <x:v>0</x:v>
      </x:c>
      <x:c r="H235" s="579">
        <x:v>0</x:v>
      </x:c>
      <x:c r="I235" s="1545" t="n">
        <x:f>G235+H235</x:f>
        <x:v>0</x:v>
      </x:c>
      <x:c r="J235" s="586">
        <x:v>0</x:v>
      </x:c>
      <x:c r="K235" s="586" t="n">
        <x:f>ROUND(H235*E235,2)</x:f>
        <x:v>0</x:v>
      </x:c>
      <x:c r="L235" s="586" t="n">
        <x:f>J235+K235</x:f>
        <x:v>0</x:v>
      </x:c>
      <x:c r="M235" s="1548" t="n">
        <x:f>IF(D235=0,0,I235/D235)</x:f>
        <x:v>0</x:v>
      </x:c>
    </x:row>
    <x:row r="236" ht="43" customHeight="1">
      <x:c r="A236" s="1822" t="s">
        <x:v>471</x:v>
      </x:c>
      <x:c r="B236" s="1821" t="s">
        <x:v>454</x:v>
      </x:c>
      <x:c r="C236" s="1500" t="s">
        <x:v>62</x:v>
      </x:c>
      <x:c r="D236" s="1538">
        <x:v>0.53</x:v>
      </x:c>
      <x:c r="E236" s="1541">
        <x:v>773.06</x:v>
      </x:c>
      <x:c r="F236" s="1541" t="n">
        <x:f>ROUND(D236*E236,2)</x:f>
        <x:v>409.72</x:v>
      </x:c>
      <x:c r="G236" s="1544">
        <x:v>0</x:v>
      </x:c>
      <x:c r="H236" s="579">
        <x:v>0</x:v>
      </x:c>
      <x:c r="I236" s="1544" t="n">
        <x:f>G236+H236</x:f>
        <x:v>0</x:v>
      </x:c>
      <x:c r="J236" s="586">
        <x:v>0</x:v>
      </x:c>
      <x:c r="K236" s="586" t="n">
        <x:f>ROUND(H236*E236,2)</x:f>
        <x:v>0</x:v>
      </x:c>
      <x:c r="L236" s="586" t="n">
        <x:f>J236+K236</x:f>
        <x:v>0</x:v>
      </x:c>
      <x:c r="M236" s="1547" t="n">
        <x:f>IF(D236=0,0,I236/D236)</x:f>
        <x:v>0</x:v>
      </x:c>
    </x:row>
    <x:row r="237" ht="31" customHeight="1">
      <x:c r="A237" s="1824" t="s">
        <x:v>472</x:v>
      </x:c>
      <x:c r="B237" s="1823" t="s">
        <x:v>443</x:v>
      </x:c>
      <x:c r="C237" s="248" t="s">
        <x:v>62</x:v>
      </x:c>
      <x:c r="D237" s="1539">
        <x:v>0.53</x:v>
      </x:c>
      <x:c r="E237" s="1542">
        <x:v>364.3</x:v>
      </x:c>
      <x:c r="F237" s="1542" t="n">
        <x:f>ROUND(D237*E237,2)</x:f>
        <x:v>193.08</x:v>
      </x:c>
      <x:c r="G237" s="1545">
        <x:v>0</x:v>
      </x:c>
      <x:c r="H237" s="579">
        <x:v>0</x:v>
      </x:c>
      <x:c r="I237" s="1545" t="n">
        <x:f>G237+H237</x:f>
        <x:v>0</x:v>
      </x:c>
      <x:c r="J237" s="586">
        <x:v>0</x:v>
      </x:c>
      <x:c r="K237" s="586" t="n">
        <x:f>ROUND(H237*E237,2)</x:f>
        <x:v>0</x:v>
      </x:c>
      <x:c r="L237" s="586" t="n">
        <x:f>J237+K237</x:f>
        <x:v>0</x:v>
      </x:c>
      <x:c r="M237" s="1548" t="n">
        <x:f>IF(D237=0,0,I237/D237)</x:f>
        <x:v>0</x:v>
      </x:c>
    </x:row>
    <x:row r="238" ht="31" customHeight="1">
      <x:c r="A238" s="1822" t="s">
        <x:v>473</x:v>
      </x:c>
      <x:c r="B238" s="1821" t="s">
        <x:v>474</x:v>
      </x:c>
      <x:c r="C238" s="1500" t="s">
        <x:v>446</x:v>
      </x:c>
      <x:c r="D238" s="1538">
        <x:v>29.25</x:v>
      </x:c>
      <x:c r="E238" s="1541">
        <x:v>12.81</x:v>
      </x:c>
      <x:c r="F238" s="1541" t="n">
        <x:f>ROUND(D238*E238,2)</x:f>
        <x:v>374.69</x:v>
      </x:c>
      <x:c r="G238" s="1544">
        <x:v>0</x:v>
      </x:c>
      <x:c r="H238" s="579">
        <x:v>0</x:v>
      </x:c>
      <x:c r="I238" s="1544" t="n">
        <x:f>G238+H238</x:f>
        <x:v>0</x:v>
      </x:c>
      <x:c r="J238" s="586">
        <x:v>0</x:v>
      </x:c>
      <x:c r="K238" s="586" t="n">
        <x:f>ROUND(H238*E238,2)</x:f>
        <x:v>0</x:v>
      </x:c>
      <x:c r="L238" s="586" t="n">
        <x:f>J238+K238</x:f>
        <x:v>0</x:v>
      </x:c>
      <x:c r="M238" s="1547" t="n">
        <x:f>IF(D238=0,0,I238/D238)</x:f>
        <x:v>0</x:v>
      </x:c>
    </x:row>
    <x:row r="239" ht="43" customHeight="1">
      <x:c r="A239" s="1824" t="s">
        <x:v>475</x:v>
      </x:c>
      <x:c r="B239" s="1823" t="s">
        <x:v>459</x:v>
      </x:c>
      <x:c r="C239" s="248" t="s">
        <x:v>446</x:v>
      </x:c>
      <x:c r="D239" s="1539">
        <x:v>11.55</x:v>
      </x:c>
      <x:c r="E239" s="1542">
        <x:v>16.41</x:v>
      </x:c>
      <x:c r="F239" s="1542" t="n">
        <x:f>ROUND(D239*E239,2)</x:f>
        <x:v>189.54</x:v>
      </x:c>
      <x:c r="G239" s="1545">
        <x:v>0</x:v>
      </x:c>
      <x:c r="H239" s="579">
        <x:v>0</x:v>
      </x:c>
      <x:c r="I239" s="1545" t="n">
        <x:f>G239+H239</x:f>
        <x:v>0</x:v>
      </x:c>
      <x:c r="J239" s="586">
        <x:v>0</x:v>
      </x:c>
      <x:c r="K239" s="586" t="n">
        <x:f>ROUND(H239*E239,2)</x:f>
        <x:v>0</x:v>
      </x:c>
      <x:c r="L239" s="586" t="n">
        <x:f>J239+K239</x:f>
        <x:v>0</x:v>
      </x:c>
      <x:c r="M239" s="1548" t="n">
        <x:f>IF(D239=0,0,I239/D239)</x:f>
        <x:v>0</x:v>
      </x:c>
    </x:row>
    <x:row r="240" ht="23" customHeight="1">
      <x:c r="A240" s="514" t="s">
        <x:v>476</x:v>
      </x:c>
      <x:c r="B240" s="515" t="s">
        <x:v>477</x:v>
      </x:c>
      <x:c r="C240" s="1817"/>
      <x:c r="D240" s="1818"/>
      <x:c r="E240" s="1819"/>
      <x:c r="F240" s="1819"/>
      <x:c r="G240" s="1818"/>
      <x:c r="H240" s="1818"/>
      <x:c r="I240" s="1818"/>
      <x:c r="J240" s="1819"/>
      <x:c r="K240" s="1819"/>
      <x:c r="L240" s="1819"/>
      <x:c r="M240" s="1820"/>
    </x:row>
    <x:row r="241" ht="43" customHeight="1">
      <x:c r="A241" s="1822" t="s">
        <x:v>478</x:v>
      </x:c>
      <x:c r="B241" s="1821" t="s">
        <x:v>479</x:v>
      </x:c>
      <x:c r="C241" s="1500" t="s">
        <x:v>73</x:v>
      </x:c>
      <x:c r="D241" s="1538">
        <x:v>19</x:v>
      </x:c>
      <x:c r="E241" s="1541">
        <x:v>34.49</x:v>
      </x:c>
      <x:c r="F241" s="1541" t="n">
        <x:f>ROUND(D241*E241,2)</x:f>
        <x:v>655.31</x:v>
      </x:c>
      <x:c r="G241" s="1544">
        <x:v>0</x:v>
      </x:c>
      <x:c r="H241" s="579">
        <x:v>0</x:v>
      </x:c>
      <x:c r="I241" s="1544" t="n">
        <x:f>G241+H241</x:f>
        <x:v>0</x:v>
      </x:c>
      <x:c r="J241" s="586">
        <x:v>0</x:v>
      </x:c>
      <x:c r="K241" s="586" t="n">
        <x:f>ROUND(H241*E241,2)</x:f>
        <x:v>0</x:v>
      </x:c>
      <x:c r="L241" s="586" t="n">
        <x:f>J241+K241</x:f>
        <x:v>0</x:v>
      </x:c>
      <x:c r="M241" s="1547" t="n">
        <x:f>IF(D241=0,0,I241/D241)</x:f>
        <x:v>0</x:v>
      </x:c>
    </x:row>
    <x:row r="242" ht="24" customHeight="1">
      <x:c r="A242" s="1824" t="s">
        <x:v>480</x:v>
      </x:c>
      <x:c r="B242" s="1823" t="s">
        <x:v>481</x:v>
      </x:c>
      <x:c r="C242" s="248" t="s">
        <x:v>73</x:v>
      </x:c>
      <x:c r="D242" s="1539">
        <x:v>7</x:v>
      </x:c>
      <x:c r="E242" s="1542">
        <x:v>219.12</x:v>
      </x:c>
      <x:c r="F242" s="1542" t="n">
        <x:f>ROUND(D242*E242,2)</x:f>
        <x:v>1533.84</x:v>
      </x:c>
      <x:c r="G242" s="1545">
        <x:v>0</x:v>
      </x:c>
      <x:c r="H242" s="579">
        <x:v>0</x:v>
      </x:c>
      <x:c r="I242" s="1545" t="n">
        <x:f>G242+H242</x:f>
        <x:v>0</x:v>
      </x:c>
      <x:c r="J242" s="586">
        <x:v>0</x:v>
      </x:c>
      <x:c r="K242" s="586" t="n">
        <x:f>ROUND(H242*E242,2)</x:f>
        <x:v>0</x:v>
      </x:c>
      <x:c r="L242" s="586" t="n">
        <x:f>J242+K242</x:f>
        <x:v>0</x:v>
      </x:c>
      <x:c r="M242" s="1548" t="n">
        <x:f>IF(D242=0,0,I242/D242)</x:f>
        <x:v>0</x:v>
      </x:c>
    </x:row>
    <x:row r="243" ht="31" customHeight="1">
      <x:c r="A243" s="1822" t="s">
        <x:v>482</x:v>
      </x:c>
      <x:c r="B243" s="1821" t="s">
        <x:v>483</x:v>
      </x:c>
      <x:c r="C243" s="1500" t="s">
        <x:v>73</x:v>
      </x:c>
      <x:c r="D243" s="1538">
        <x:v>7</x:v>
      </x:c>
      <x:c r="E243" s="1541">
        <x:v>18.75</x:v>
      </x:c>
      <x:c r="F243" s="1541" t="n">
        <x:f>ROUND(D243*E243,2)</x:f>
        <x:v>131.25</x:v>
      </x:c>
      <x:c r="G243" s="1544">
        <x:v>0</x:v>
      </x:c>
      <x:c r="H243" s="579">
        <x:v>0</x:v>
      </x:c>
      <x:c r="I243" s="1544" t="n">
        <x:f>G243+H243</x:f>
        <x:v>0</x:v>
      </x:c>
      <x:c r="J243" s="586">
        <x:v>0</x:v>
      </x:c>
      <x:c r="K243" s="586" t="n">
        <x:f>ROUND(H243*E243,2)</x:f>
        <x:v>0</x:v>
      </x:c>
      <x:c r="L243" s="586" t="n">
        <x:f>J243+K243</x:f>
        <x:v>0</x:v>
      </x:c>
      <x:c r="M243" s="1547" t="n">
        <x:f>IF(D243=0,0,I243/D243)</x:f>
        <x:v>0</x:v>
      </x:c>
    </x:row>
    <x:row r="244" ht="24" customHeight="1">
      <x:c r="A244" s="1824" t="s">
        <x:v>484</x:v>
      </x:c>
      <x:c r="B244" s="1823" t="s">
        <x:v>485</x:v>
      </x:c>
      <x:c r="C244" s="248" t="s">
        <x:v>73</x:v>
      </x:c>
      <x:c r="D244" s="1539">
        <x:v>7</x:v>
      </x:c>
      <x:c r="E244" s="1542">
        <x:v>337.57</x:v>
      </x:c>
      <x:c r="F244" s="1542" t="n">
        <x:f>ROUND(D244*E244,2)</x:f>
        <x:v>2362.99</x:v>
      </x:c>
      <x:c r="G244" s="1545">
        <x:v>0</x:v>
      </x:c>
      <x:c r="H244" s="579">
        <x:v>0</x:v>
      </x:c>
      <x:c r="I244" s="1545" t="n">
        <x:f>G244+H244</x:f>
        <x:v>0</x:v>
      </x:c>
      <x:c r="J244" s="586">
        <x:v>0</x:v>
      </x:c>
      <x:c r="K244" s="586" t="n">
        <x:f>ROUND(H244*E244,2)</x:f>
        <x:v>0</x:v>
      </x:c>
      <x:c r="L244" s="586" t="n">
        <x:f>J244+K244</x:f>
        <x:v>0</x:v>
      </x:c>
      <x:c r="M244" s="1548" t="n">
        <x:f>IF(D244=0,0,I244/D244)</x:f>
        <x:v>0</x:v>
      </x:c>
    </x:row>
    <x:row r="245" ht="31" customHeight="1">
      <x:c r="A245" s="1830" t="s">
        <x:v>486</x:v>
      </x:c>
      <x:c r="B245" s="1829" t="s">
        <x:v>487</x:v>
      </x:c>
      <x:c r="C245" s="1515" t="s">
        <x:v>73</x:v>
      </x:c>
      <x:c r="D245" s="1540">
        <x:v>6</x:v>
      </x:c>
      <x:c r="E245" s="1543">
        <x:v>19.66</x:v>
      </x:c>
      <x:c r="F245" s="1543" t="n">
        <x:f>ROUND(D245*E245,2)</x:f>
        <x:v>117.96</x:v>
      </x:c>
      <x:c r="G245" s="1546">
        <x:v>0</x:v>
      </x:c>
      <x:c r="H245" s="579">
        <x:v>0</x:v>
      </x:c>
      <x:c r="I245" s="1546" t="n">
        <x:f>G245+H245</x:f>
        <x:v>0</x:v>
      </x:c>
      <x:c r="J245" s="587">
        <x:v>0</x:v>
      </x:c>
      <x:c r="K245" s="587" t="n">
        <x:f>ROUND(H245*E245,2)</x:f>
        <x:v>0</x:v>
      </x:c>
      <x:c r="L245" s="587" t="n">
        <x:f>J245+K245</x:f>
        <x:v>0</x:v>
      </x:c>
      <x:c r="M245" s="1549" t="n">
        <x:f>IF(D245=0,0,I245/D245)</x:f>
        <x:v>0</x:v>
      </x:c>
    </x:row>
    <x:row r="246" ht="25" customHeight="1">
      <x:c r="A246" s="1831" t="s">
        <x:v>488</x:v>
      </x:c>
      <x:c r="B246" s="1832"/>
      <x:c r="C246" s="1832"/>
      <x:c r="D246" s="1832"/>
      <x:c r="E246" s="1832"/>
      <x:c r="F246" s="1833" t="n">
        <x:f>SUM(F14:F245)</x:f>
        <x:v>236950.9999999997</x:v>
      </x:c>
      <x:c r="G246" s="1832"/>
      <x:c r="H246" s="1832"/>
      <x:c r="I246" s="1832"/>
      <x:c r="J246" s="1833"/>
      <x:c r="K246" s="1833" t="n">
        <x:f>SUM(K14:K245)</x:f>
        <x:v>0</x:v>
      </x:c>
      <x:c r="L246" s="1833" t="n">
        <x:f>SUM(L14:L245)</x:f>
        <x:v>0</x:v>
      </x:c>
      <x:c r="M246" s="1834" t="n">
        <x:f>IF(F246=0,0,L246/F246)</x:f>
        <x:v>0</x:v>
      </x:c>
    </x:row>
    <x:row r="247">
      <x:c r="A247" s="303"/>
      <x:c r="B247" s="303"/>
      <x:c r="C247" s="303"/>
      <x:c r="D247" s="303"/>
      <x:c r="E247" s="303"/>
      <x:c r="F247" s="303"/>
      <x:c r="G247" s="303"/>
      <x:c r="H247" s="303"/>
      <x:c r="I247" s="303"/>
      <x:c r="J247" s="303"/>
      <x:c r="K247" s="303"/>
      <x:c r="L247" s="303"/>
      <x:c r="M247" s="303"/>
    </x:row>
    <x:row r="248">
      <x:c r="A248" s="303"/>
      <x:c r="B248" s="303"/>
      <x:c r="C248" s="303"/>
      <x:c r="D248" s="303"/>
      <x:c r="E248" s="303"/>
      <x:c r="F248" s="303"/>
      <x:c r="G248" s="303"/>
      <x:c r="H248" s="303"/>
      <x:c r="I248" s="303"/>
      <x:c r="J248" s="303"/>
      <x:c r="K248" s="303"/>
      <x:c r="L248" s="303"/>
      <x:c r="M248" s="303"/>
    </x:row>
    <x:row r="249" ht="25" customHeight="1">
      <x:c r="A249" s="1835" t="s">
        <x:v>489</x:v>
      </x:c>
      <x:c r="B249" s="1835"/>
      <x:c r="C249" s="1835"/>
      <x:c r="D249" s="1835"/>
      <x:c r="E249" s="1835"/>
      <x:c r="F249" s="1835"/>
      <x:c r="G249" s="1835"/>
      <x:c r="H249" s="1835"/>
      <x:c r="I249" s="1835"/>
      <x:c r="J249" s="1835"/>
      <x:c r="K249" s="1835"/>
      <x:c r="L249" s="1835"/>
      <x:c r="M249" s="1835"/>
    </x:row>
    <x:row r="250" ht="26" customHeight="1">
      <x:c r="A250" s="1836" t="s">
        <x:v>490</x:v>
      </x:c>
      <x:c r="B250" s="1837"/>
      <x:c r="C250" s="1837"/>
      <x:c r="D250" s="1837" t="s">
        <x:v>491</x:v>
      </x:c>
      <x:c r="E250" s="1837"/>
      <x:c r="F250" s="1837" t="s">
        <x:v>492</x:v>
      </x:c>
      <x:c r="G250" s="1837"/>
      <x:c r="H250" s="1837"/>
      <x:c r="I250" s="1837" t="s">
        <x:v>493</x:v>
      </x:c>
      <x:c r="J250" s="1837"/>
      <x:c r="K250" s="1837" t="s">
        <x:v>494</x:v>
      </x:c>
      <x:c r="L250" s="1837"/>
      <x:c r="M250" s="1838"/>
    </x:row>
    <x:row r="251" ht="34" customHeight="1">
      <x:c r="A251" s="1839" t="n">
        <x:f>F246</x:f>
        <x:v>236950.9999999997</x:v>
      </x:c>
      <x:c r="B251" s="1840"/>
      <x:c r="C251" s="1840"/>
      <x:c r="D251" s="1841" t="n">
        <x:f>K246</x:f>
        <x:v>0</x:v>
      </x:c>
      <x:c r="E251" s="1840"/>
      <x:c r="F251" s="1841" t="n">
        <x:f>L246</x:f>
        <x:v>0</x:v>
      </x:c>
      <x:c r="G251" s="1840"/>
      <x:c r="H251" s="1840"/>
      <x:c r="I251" s="1842" t="n">
        <x:f>IF(F246=0,0,L246/F246)</x:f>
        <x:v>0</x:v>
      </x:c>
      <x:c r="J251" s="1843"/>
      <x:c r="K251" s="1841" t="n">
        <x:f>F246-L246</x:f>
        <x:v>236950.9999999997</x:v>
      </x:c>
      <x:c r="L251" s="1840"/>
      <x:c r="M251" s="1844"/>
    </x:row>
    <x:row r="252" ht="6" customHeight="1">
      <x:c r="A252" s="303"/>
      <x:c r="B252" s="303"/>
      <x:c r="C252" s="303"/>
      <x:c r="D252" s="303"/>
      <x:c r="E252" s="303"/>
      <x:c r="F252" s="303"/>
      <x:c r="G252" s="303"/>
      <x:c r="H252" s="303"/>
      <x:c r="I252" s="303"/>
      <x:c r="J252" s="303"/>
      <x:c r="K252" s="303"/>
      <x:c r="L252" s="303"/>
      <x:c r="M252" s="303"/>
    </x:row>
    <x:row r="253">
      <x:c r="A253" s="303"/>
      <x:c r="B253" s="303"/>
      <x:c r="C253" s="303"/>
      <x:c r="D253" s="303"/>
      <x:c r="E253" s="303"/>
      <x:c r="F253" s="303"/>
      <x:c r="G253" s="303"/>
      <x:c r="H253" s="303"/>
      <x:c r="I253" s="303"/>
      <x:c r="J253" s="303"/>
      <x:c r="K253" s="303"/>
      <x:c r="L253" s="303"/>
      <x:c r="M253" s="303"/>
    </x:row>
    <x:row r="254">
      <x:c r="A254" s="303"/>
      <x:c r="B254" s="303"/>
      <x:c r="C254" s="303"/>
      <x:c r="D254" s="303"/>
      <x:c r="E254" s="303"/>
      <x:c r="F254" s="303"/>
      <x:c r="G254" s="303"/>
      <x:c r="H254" s="303"/>
      <x:c r="I254" s="303"/>
      <x:c r="J254" s="303"/>
      <x:c r="K254" s="303"/>
      <x:c r="L254" s="303"/>
      <x:c r="M254" s="303"/>
    </x:row>
    <x:row r="255">
      <x:c r="A255" s="303"/>
      <x:c r="B255" s="303"/>
      <x:c r="C255" s="303"/>
      <x:c r="D255" s="303"/>
      <x:c r="E255" s="303"/>
      <x:c r="F255" s="303"/>
      <x:c r="G255" s="303"/>
      <x:c r="H255" s="303"/>
      <x:c r="I255" s="303"/>
      <x:c r="J255" s="303"/>
      <x:c r="K255" s="303"/>
      <x:c r="L255" s="303"/>
      <x:c r="M255" s="303"/>
    </x:row>
    <x:row r="256" ht="34" customHeight="1">
      <x:c r="A256" s="673" t="s">
        <x:v>495</x:v>
      </x:c>
      <x:c r="B256" s="673"/>
      <x:c r="C256" s="673"/>
      <x:c r="D256" s="673"/>
      <x:c r="E256" s="673"/>
      <x:c r="F256" s="673"/>
      <x:c r="G256" s="673"/>
      <x:c r="H256" s="673"/>
      <x:c r="I256" s="673"/>
      <x:c r="J256" s="673"/>
      <x:c r="K256" s="673"/>
      <x:c r="L256" s="673"/>
      <x:c r="M256" s="673"/>
    </x:row>
    <x:row r="257">
      <x:c r="A257" s="303"/>
      <x:c r="B257" s="303"/>
      <x:c r="C257" s="303"/>
      <x:c r="D257" s="303"/>
      <x:c r="E257" s="303"/>
      <x:c r="F257" s="303"/>
      <x:c r="G257" s="303"/>
      <x:c r="H257" s="303"/>
      <x:c r="I257" s="303"/>
      <x:c r="J257" s="303"/>
      <x:c r="K257" s="303"/>
      <x:c r="L257" s="303"/>
      <x:c r="M257" s="303"/>
    </x:row>
    <x:row r="258">
      <x:c r="A258" s="303"/>
      <x:c r="B258" s="303"/>
      <x:c r="C258" s="303"/>
      <x:c r="D258" s="303"/>
      <x:c r="E258" s="303"/>
      <x:c r="F258" s="303"/>
      <x:c r="G258" s="303"/>
      <x:c r="H258" s="303"/>
      <x:c r="I258" s="303"/>
      <x:c r="J258" s="303"/>
      <x:c r="K258" s="303"/>
      <x:c r="L258" s="303"/>
      <x:c r="M258" s="303"/>
    </x:row>
    <x:row r="259" ht="24" customHeight="1">
      <x:c r="A259" s="1845" t="s">
        <x:v>33</x:v>
      </x:c>
      <x:c r="B259" s="1845"/>
      <x:c r="C259" s="1845"/>
      <x:c r="D259" s="1845"/>
      <x:c r="E259" s="1845"/>
      <x:c r="F259" s="1845"/>
      <x:c r="G259" s="1846"/>
      <x:c r="H259" s="1845" t="s">
        <x:v>34</x:v>
      </x:c>
      <x:c r="I259" s="1845"/>
      <x:c r="J259" s="1845"/>
      <x:c r="K259" s="1845"/>
      <x:c r="L259" s="1845"/>
      <x:c r="M259" s="1845"/>
    </x:row>
    <x:row r="260">
      <x:c r="A260" s="303"/>
      <x:c r="B260" s="303"/>
      <x:c r="C260" s="303"/>
      <x:c r="D260" s="303"/>
      <x:c r="E260" s="303"/>
      <x:c r="F260" s="303"/>
      <x:c r="G260" s="303"/>
      <x:c r="H260" s="303"/>
      <x:c r="I260" s="303"/>
      <x:c r="J260" s="303"/>
      <x:c r="K260" s="303"/>
      <x:c r="L260" s="303"/>
      <x:c r="M260" s="303"/>
    </x:row>
    <x:row r="261">
      <x:c r="A261" s="303"/>
      <x:c r="B261" s="303"/>
      <x:c r="C261" s="303"/>
      <x:c r="D261" s="303"/>
      <x:c r="E261" s="303"/>
      <x:c r="F261" s="303"/>
      <x:c r="G261" s="303"/>
      <x:c r="H261" s="303"/>
      <x:c r="I261" s="303"/>
      <x:c r="J261" s="303"/>
      <x:c r="K261" s="303"/>
      <x:c r="L261" s="303"/>
      <x:c r="M261" s="303"/>
    </x:row>
    <x:row r="262">
      <x:c r="A262" s="304"/>
      <x:c r="B262" s="304"/>
      <x:c r="C262" s="304"/>
      <x:c r="D262" s="304"/>
      <x:c r="E262" s="304"/>
      <x:c r="F262" s="304"/>
      <x:c r="G262" s="303"/>
      <x:c r="H262" s="304"/>
      <x:c r="I262" s="304"/>
      <x:c r="J262" s="304"/>
      <x:c r="K262" s="304"/>
      <x:c r="L262" s="304"/>
      <x:c r="M262" s="304"/>
    </x:row>
    <x:row r="263" ht="25" customHeight="1">
      <x:c r="A263" s="1847" t="s">
        <x:v>496</x:v>
      </x:c>
      <x:c r="B263" s="1847"/>
      <x:c r="C263" s="1847"/>
      <x:c r="D263" s="1847"/>
      <x:c r="E263" s="1847"/>
      <x:c r="F263" s="1847"/>
      <x:c r="G263" s="1848"/>
      <x:c r="H263" s="1847" t="s">
        <x:v>497</x:v>
      </x:c>
      <x:c r="I263" s="1847"/>
      <x:c r="J263" s="1847"/>
      <x:c r="K263" s="1847"/>
      <x:c r="L263" s="1847"/>
      <x:c r="M263" s="1847"/>
    </x:row>
    <x:row r="264" ht="23" customHeight="1">
      <x:c r="A264" s="1847" t="s">
        <x:v>498</x:v>
      </x:c>
      <x:c r="B264" s="1847"/>
      <x:c r="C264" s="1847"/>
      <x:c r="D264" s="1847"/>
      <x:c r="E264" s="1847"/>
      <x:c r="F264" s="1847"/>
      <x:c r="G264" s="1848"/>
      <x:c r="H264" s="1848"/>
      <x:c r="I264" s="1848"/>
      <x:c r="J264" s="1848"/>
      <x:c r="K264" s="1848"/>
      <x:c r="L264" s="1848"/>
      <x:c r="M264" s="1848"/>
    </x:row>
  </x:sheetData>
  <x:mergeCells>
    <x:mergeCell ref="A1:B1"/>
    <x:mergeCell ref="C1:H1"/>
    <x:mergeCell ref="I1:M1"/>
    <x:mergeCell ref="F2:H2"/>
    <x:mergeCell ref="I2:J2"/>
    <x:mergeCell ref="K2:M2"/>
    <x:mergeCell ref="A3:M3"/>
    <x:mergeCell ref="A4:E4"/>
    <x:mergeCell ref="F4:H4"/>
    <x:mergeCell ref="I4:J4"/>
    <x:mergeCell ref="K4:M4"/>
    <x:mergeCell ref="A5:E5"/>
    <x:mergeCell ref="F5:H5"/>
    <x:mergeCell ref="I5:J5"/>
    <x:mergeCell ref="K5:M5"/>
    <x:mergeCell ref="A6:E6"/>
    <x:mergeCell ref="F6:G6"/>
    <x:mergeCell ref="H6:J6"/>
    <x:mergeCell ref="K6:M6"/>
    <x:mergeCell ref="A7:E7"/>
    <x:mergeCell ref="F7:G7"/>
    <x:mergeCell ref="H7:J7"/>
    <x:mergeCell ref="K7:M7"/>
    <x:mergeCell ref="A8:B8"/>
    <x:mergeCell ref="C8:D8"/>
    <x:mergeCell ref="E8:G8"/>
    <x:mergeCell ref="H8:I8"/>
    <x:mergeCell ref="J8:K8"/>
    <x:mergeCell ref="L8:M8"/>
    <x:mergeCell ref="A9:B9"/>
    <x:mergeCell ref="C9:D9"/>
    <x:mergeCell ref="E9:G9"/>
    <x:mergeCell ref="H9:I9"/>
    <x:mergeCell ref="J9:K9"/>
    <x:mergeCell ref="L9:M9"/>
    <x:mergeCell ref="A10:F10"/>
    <x:mergeCell ref="G10:I10"/>
    <x:mergeCell ref="J10:M10"/>
    <x:mergeCell ref="A11:F11"/>
    <x:mergeCell ref="G11:I11"/>
    <x:mergeCell ref="J11:M11"/>
    <x:mergeCell ref="G12:I12"/>
    <x:mergeCell ref="J12:L12"/>
    <x:mergeCell ref="A12:A13"/>
    <x:mergeCell ref="B12:B13"/>
    <x:mergeCell ref="C12:C13"/>
    <x:mergeCell ref="D12:D13"/>
    <x:mergeCell ref="E12:E13"/>
    <x:mergeCell ref="F12:F13"/>
    <x:mergeCell ref="M12:M13"/>
    <x:mergeCell ref="A246:E246"/>
    <x:mergeCell ref="A249:M249"/>
    <x:mergeCell ref="A250:C250"/>
    <x:mergeCell ref="D250:E250"/>
    <x:mergeCell ref="F250:H250"/>
    <x:mergeCell ref="I250:J250"/>
    <x:mergeCell ref="K250:M250"/>
    <x:mergeCell ref="A251:C251"/>
    <x:mergeCell ref="D251:E251"/>
    <x:mergeCell ref="F251:H251"/>
    <x:mergeCell ref="I251:J251"/>
    <x:mergeCell ref="K251:M251"/>
    <x:mergeCell ref="A256:M256"/>
    <x:mergeCell ref="A259:F259"/>
    <x:mergeCell ref="H259:M259"/>
    <x:mergeCell ref="A262:F262"/>
    <x:mergeCell ref="H262:M262"/>
    <x:mergeCell ref="A263:F263"/>
    <x:mergeCell ref="H263:M263"/>
    <x:mergeCell ref="A264:F264"/>
    <x:mergeCell ref="C2:E2"/>
  </x:mergeCells>
  <x:conditionalFormatting sqref="K14:K245">
    <x:cfRule type="colorScale" priority="2">
      <x:colorScale>
        <x:cfvo type="min"/>
        <x:cfvo type="percentile" val="50"/>
        <x:cfvo type="max"/>
        <x:color rgb="FFFFFFFF"/>
        <x:color rgb="FFF5EEDD"/>
        <x:color rgb="FFC8A66A"/>
      </x:colorScale>
    </x:cfRule>
  </x:conditionalFormatting>
  <x:conditionalFormatting sqref="M14:M245">
    <x:cfRule type="dataBar" priority="3">
      <x:dataBar>
        <x:cfvo type="min"/>
        <x:cfvo type="max"/>
        <x:color rgb="FFC79A45"/>
      </x:dataBar>
      <x:extLst>
        <x:ext xmlns:x14="http://schemas.microsoft.com/office/spreadsheetml/2009/9/main" uri="{B025F937-C7B1-47D3-B67F-A62EFF666E3E}">
          <x14:id>{9EFE68A7-BD56-C8B3-5EA0-D0F9F6515207}</x14:id>
        </x:ext>
      </x:extLst>
    </x:cfRule>
  </x:conditionalFormatting>
  <x:conditionalFormatting sqref="H14:H245">
    <x:cfRule type="expression" dxfId="0" priority="4">
      <x:formula>H14&gt;MAX(0,D14-G14)</x:formula>
    </x:cfRule>
  </x:conditionalFormatting>
  <x:dataValidations count="38">
    <x:dataValidation type="decimal" operator="greaterThanOrEqual" showErrorMessage="1" errorTitle="Valor inválido" error="Informe uma quantidade maior ou igual a zero." sqref="H100:H106">
      <x:formula1>0</x:formula1>
    </x:dataValidation>
    <x:dataValidation type="decimal" operator="greaterThanOrEqual" showErrorMessage="1" errorTitle="Valor inválido" error="Informe uma quantidade maior ou igual a zero." sqref="H108:H111">
      <x:formula1>0</x:formula1>
    </x:dataValidation>
    <x:dataValidation type="decimal" operator="greaterThanOrEqual" showErrorMessage="1" errorTitle="Valor inválido" error="Informe uma quantidade maior ou igual a zero." sqref="H113:H117">
      <x:formula1>0</x:formula1>
    </x:dataValidation>
    <x:dataValidation type="decimal" operator="greaterThanOrEqual" showErrorMessage="1" errorTitle="Valor inválido" error="Informe uma quantidade maior ou igual a zero." sqref="H119:H120">
      <x:formula1>0</x:formula1>
    </x:dataValidation>
    <x:dataValidation type="decimal" operator="greaterThanOrEqual" showErrorMessage="1" errorTitle="Valor inválido" error="Informe uma quantidade maior ou igual a zero." sqref="H122:H128">
      <x:formula1>0</x:formula1>
    </x:dataValidation>
    <x:dataValidation type="decimal" operator="greaterThanOrEqual" showErrorMessage="1" errorTitle="Valor inválido" error="Informe uma quantidade maior ou igual a zero." sqref="H130:H135">
      <x:formula1>0</x:formula1>
    </x:dataValidation>
    <x:dataValidation type="decimal" operator="greaterThanOrEqual" showErrorMessage="1" errorTitle="Valor inválido" error="Informe uma quantidade maior ou igual a zero." sqref="H137:H142">
      <x:formula1>0</x:formula1>
    </x:dataValidation>
    <x:dataValidation type="decimal" operator="greaterThanOrEqual" showErrorMessage="1" errorTitle="Valor inválido" error="Informe uma quantidade maior ou igual a zero." sqref="H144:H147">
      <x:formula1>0</x:formula1>
    </x:dataValidation>
    <x:dataValidation type="decimal" operator="greaterThanOrEqual" showErrorMessage="1" errorTitle="Valor inválido" error="Informe uma quantidade maior ou igual a zero." sqref="H149:H150">
      <x:formula1>0</x:formula1>
    </x:dataValidation>
    <x:dataValidation type="decimal" operator="greaterThanOrEqual" showErrorMessage="1" errorTitle="Valor inválido" error="Informe uma quantidade maior ou igual a zero." sqref="H153:H175">
      <x:formula1>0</x:formula1>
    </x:dataValidation>
    <x:dataValidation type="decimal" operator="greaterThanOrEqual" showErrorMessage="1" errorTitle="Valor inválido" error="Informe uma quantidade maior ou igual a zero." sqref="H16:H17">
      <x:formula1>0</x:formula1>
    </x:dataValidation>
    <x:dataValidation type="decimal" operator="greaterThanOrEqual" showErrorMessage="1" errorTitle="Valor inválido" error="Informe uma quantidade maior ou igual a zero." sqref="H177:H181">
      <x:formula1>0</x:formula1>
    </x:dataValidation>
    <x:dataValidation type="decimal" operator="greaterThanOrEqual" showErrorMessage="1" errorTitle="Valor inválido" error="Informe uma quantidade maior ou igual a zero." sqref="H183:H188">
      <x:formula1>0</x:formula1>
    </x:dataValidation>
    <x:dataValidation type="decimal" operator="greaterThanOrEqual" showErrorMessage="1" errorTitle="Valor inválido" error="Informe uma quantidade maior ou igual a zero." sqref="H19:H25">
      <x:formula1>0</x:formula1>
    </x:dataValidation>
    <x:dataValidation type="decimal" operator="greaterThanOrEqual" showErrorMessage="1" errorTitle="Valor inválido" error="Informe uma quantidade maior ou igual a zero." sqref="H190:H197">
      <x:formula1>0</x:formula1>
    </x:dataValidation>
    <x:dataValidation type="decimal" operator="greaterThanOrEqual" showErrorMessage="1" errorTitle="Valor inválido" error="Informe uma quantidade maior ou igual a zero." sqref="H199:H214">
      <x:formula1>0</x:formula1>
    </x:dataValidation>
    <x:dataValidation type="decimal" operator="greaterThanOrEqual" showErrorMessage="1" errorTitle="Valor inválido" error="Informe uma quantidade maior ou igual a zero." sqref="H217:H221">
      <x:formula1>0</x:formula1>
    </x:dataValidation>
    <x:dataValidation type="decimal" operator="greaterThanOrEqual" showErrorMessage="1" errorTitle="Valor inválido" error="Informe uma quantidade maior ou igual a zero." sqref="H223:H227">
      <x:formula1>0</x:formula1>
    </x:dataValidation>
    <x:dataValidation type="decimal" operator="greaterThanOrEqual" showErrorMessage="1" errorTitle="Valor inválido" error="Informe uma quantidade maior ou igual a zero." sqref="H229:H233">
      <x:formula1>0</x:formula1>
    </x:dataValidation>
    <x:dataValidation type="decimal" operator="greaterThanOrEqual" showErrorMessage="1" errorTitle="Valor inválido" error="Informe uma quantidade maior ou igual a zero." sqref="H235:H239">
      <x:formula1>0</x:formula1>
    </x:dataValidation>
    <x:dataValidation type="decimal" operator="greaterThanOrEqual" showErrorMessage="1" errorTitle="Valor inválido" error="Informe uma quantidade maior ou igual a zero." sqref="H241:H245">
      <x:formula1>0</x:formula1>
    </x:dataValidation>
    <x:dataValidation type="decimal" operator="greaterThanOrEqual" showErrorMessage="1" errorTitle="Valor inválido" error="Informe uma quantidade maior ou igual a zero." sqref="H28:H30">
      <x:formula1>0</x:formula1>
    </x:dataValidation>
    <x:dataValidation type="decimal" operator="greaterThanOrEqual" showErrorMessage="1" errorTitle="Valor inválido" error="Informe uma quantidade maior ou igual a zero." sqref="H32:H35">
      <x:formula1>0</x:formula1>
    </x:dataValidation>
    <x:dataValidation type="decimal" operator="greaterThanOrEqual" showErrorMessage="1" errorTitle="Valor inválido" error="Informe uma quantidade maior ou igual a zero." sqref="H37:H39">
      <x:formula1>0</x:formula1>
    </x:dataValidation>
    <x:dataValidation type="decimal" operator="greaterThanOrEqual" showErrorMessage="1" errorTitle="Valor inválido" error="Informe uma quantidade maior ou igual a zero." sqref="H41:H44">
      <x:formula1>0</x:formula1>
    </x:dataValidation>
    <x:dataValidation type="decimal" operator="greaterThanOrEqual" showErrorMessage="1" errorTitle="Valor inválido" error="Informe uma quantidade maior ou igual a zero." sqref="H48">
      <x:formula1>0</x:formula1>
    </x:dataValidation>
    <x:dataValidation type="decimal" operator="greaterThanOrEqual" showErrorMessage="1" errorTitle="Valor inválido" error="Informe uma quantidade maior ou igual a zero." sqref="H51">
      <x:formula1>0</x:formula1>
    </x:dataValidation>
    <x:dataValidation type="decimal" operator="greaterThanOrEqual" showErrorMessage="1" errorTitle="Valor inválido" error="Informe uma quantidade maior ou igual a zero." sqref="H53">
      <x:formula1>0</x:formula1>
    </x:dataValidation>
    <x:dataValidation type="decimal" operator="greaterThanOrEqual" showErrorMessage="1" errorTitle="Valor inválido" error="Informe uma quantidade maior ou igual a zero." sqref="H55:H56">
      <x:formula1>0</x:formula1>
    </x:dataValidation>
    <x:dataValidation type="decimal" operator="greaterThanOrEqual" showErrorMessage="1" errorTitle="Valor inválido" error="Informe uma quantidade maior ou igual a zero." sqref="H60:H61">
      <x:formula1>0</x:formula1>
    </x:dataValidation>
    <x:dataValidation type="decimal" operator="greaterThanOrEqual" showErrorMessage="1" errorTitle="Valor inválido" error="Informe uma quantidade maior ou igual a zero." sqref="H63:H64">
      <x:formula1>0</x:formula1>
    </x:dataValidation>
    <x:dataValidation type="decimal" operator="greaterThanOrEqual" showErrorMessage="1" errorTitle="Valor inválido" error="Informe uma quantidade maior ou igual a zero." sqref="H66:H67">
      <x:formula1>0</x:formula1>
    </x:dataValidation>
    <x:dataValidation type="decimal" operator="greaterThanOrEqual" showErrorMessage="1" errorTitle="Valor inválido" error="Informe uma quantidade maior ou igual a zero." sqref="H69:H70">
      <x:formula1>0</x:formula1>
    </x:dataValidation>
    <x:dataValidation type="decimal" operator="greaterThanOrEqual" showErrorMessage="1" errorTitle="Valor inválido" error="Informe uma quantidade maior ou igual a zero." sqref="H73:H78">
      <x:formula1>0</x:formula1>
    </x:dataValidation>
    <x:dataValidation type="decimal" operator="greaterThanOrEqual" showErrorMessage="1" errorTitle="Valor inválido" error="Informe uma quantidade maior ou igual a zero." sqref="H81:H83">
      <x:formula1>0</x:formula1>
    </x:dataValidation>
    <x:dataValidation type="decimal" operator="greaterThanOrEqual" showErrorMessage="1" errorTitle="Valor inválido" error="Informe uma quantidade maior ou igual a zero." sqref="H85:H86">
      <x:formula1>0</x:formula1>
    </x:dataValidation>
    <x:dataValidation type="decimal" operator="greaterThanOrEqual" showErrorMessage="1" errorTitle="Valor inválido" error="Informe uma quantidade maior ou igual a zero." sqref="H89:H91">
      <x:formula1>0</x:formula1>
    </x:dataValidation>
    <x:dataValidation type="decimal" operator="greaterThanOrEqual" showErrorMessage="1" errorTitle="Valor inválido" error="Informe uma quantidade maior ou igual a zero." sqref="H93:H97">
      <x:formula1>0</x:formula1>
    </x:dataValidation>
  </x:dataValidations>
  <x:pageMargins left="0.7" right="0.7" top="0.75" bottom="0.75" header="0.3" footer="0.3"/>
  <x:drawing xmlns:r="http://schemas.openxmlformats.org/officeDocument/2006/relationships" r:id="R8ea3f59d172c45d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9EFE68A7-BD56-C8B3-5EA0-D0F9F6515207}">
            <x14:dataBar gradient="1">
              <x14:cfvo type="min"/>
              <x14:cfvo type="max"/>
              <x14:fillColor rgb="FFC79A45"/>
            </x14:dataBar>
          </x14:cfRule>
          <xm:sqref>M14:M245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2" hidden="0" customWidth="1"/>
    <x:col min="3" max="3" width="7" hidden="0" customWidth="1"/>
    <x:col min="4" max="5" width="14" customWidth="1"/>
    <x:col min="6" max="6" width="15" hidden="0" customWidth="1"/>
    <x:col min="7" max="9" width="14" customWidth="1"/>
    <x:col min="10" max="12" width="16" customWidth="1"/>
    <x:col min="13" max="13" width="12" hidden="0" customWidth="1"/>
    <x:col min="14" max="14" width="12" hidden="0" customWidth="1"/>
    <x:col min="15" max="15" width="15" hidden="0" customWidth="1"/>
    <x:col min="4" max="4" width="12" hidden="0" customWidth="1"/>
    <x:col min="5" max="5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9" customHeight="1">
      <x:c r="A1" s="1849" t="s">
        <x:v>499</x:v>
      </x:c>
      <x:c r="B1" s="1849"/>
      <x:c r="C1" s="1849"/>
      <x:c r="D1" s="1849"/>
      <x:c r="E1" s="1849"/>
      <x:c r="F1" s="1849"/>
      <x:c r="G1" s="1849"/>
      <x:c r="H1" s="1849"/>
      <x:c r="I1" s="1849"/>
      <x:c r="J1" s="1849"/>
      <x:c r="K1" s="1849"/>
      <x:c r="L1" s="1849"/>
      <x:c r="M1" s="1849"/>
      <x:c r="N1" s="1849"/>
      <x:c r="O1" s="1849"/>
    </x:row>
    <x:row r="2" ht="28" customHeight="1">
      <x:c r="A2" s="374" t="s">
        <x:v>37</x:v>
      </x:c>
      <x:c r="B2" s="375" t="s">
        <x:v>38</x:v>
      </x:c>
      <x:c r="C2" s="375" t="s">
        <x:v>39</x:v>
      </x:c>
      <x:c r="D2" s="375" t="s">
        <x:v>500</x:v>
      </x:c>
      <x:c r="E2" s="375" t="s">
        <x:v>41</x:v>
      </x:c>
      <x:c r="F2" s="375" t="s">
        <x:v>501</x:v>
      </x:c>
      <x:c r="G2" s="375" t="s">
        <x:v>502</x:v>
      </x:c>
      <x:c r="H2" s="375" t="s">
        <x:v>503</x:v>
      </x:c>
      <x:c r="I2" s="375" t="s">
        <x:v>504</x:v>
      </x:c>
      <x:c r="J2" s="375" t="s">
        <x:v>505</x:v>
      </x:c>
      <x:c r="K2" s="375" t="s">
        <x:v>506</x:v>
      </x:c>
      <x:c r="L2" s="375" t="s">
        <x:v>507</x:v>
      </x:c>
      <x:c r="M2" s="375" t="s">
        <x:v>508</x:v>
      </x:c>
      <x:c r="N2" s="375" t="s">
        <x:v>509</x:v>
      </x:c>
      <x:c r="O2" s="376" t="s">
        <x:v>510</x:v>
      </x:c>
    </x:row>
    <x:row r="3" ht="2" customHeight="1">
      <x:c r="A3" s="1850"/>
      <x:c r="B3" s="1850"/>
      <x:c r="C3" s="1850"/>
      <x:c r="D3" s="1850"/>
      <x:c r="E3" s="1850"/>
      <x:c r="F3" s="1850"/>
      <x:c r="G3" s="1850"/>
      <x:c r="H3" s="1850"/>
      <x:c r="I3" s="1850"/>
      <x:c r="J3" s="1850"/>
      <x:c r="K3" s="1850"/>
      <x:c r="L3" s="1850"/>
      <x:c r="M3" s="1850"/>
      <x:c r="N3" s="1850"/>
      <x:c r="O3" s="1850"/>
    </x:row>
    <x:row r="4" ht="23" customHeight="1">
      <x:c r="A4" s="756" t="s">
        <x:v>49</x:v>
      </x:c>
      <x:c r="B4" s="491" t="s">
        <x:v>50</x:v>
      </x:c>
      <x:c r="C4" s="491"/>
      <x:c r="D4" s="1851"/>
      <x:c r="E4" s="1852"/>
      <x:c r="F4" s="1852"/>
      <x:c r="G4" s="1851"/>
      <x:c r="H4" s="1851"/>
      <x:c r="I4" s="1851"/>
      <x:c r="J4" s="1852"/>
      <x:c r="K4" s="1852"/>
      <x:c r="L4" s="1852"/>
      <x:c r="M4" s="1853"/>
      <x:c r="N4" s="1851"/>
      <x:c r="O4" s="1854"/>
    </x:row>
    <x:row r="5" ht="23" customHeight="1">
      <x:c r="A5" s="774" t="s">
        <x:v>51</x:v>
      </x:c>
      <x:c r="B5" s="515" t="s">
        <x:v>52</x:v>
      </x:c>
      <x:c r="C5" s="515"/>
      <x:c r="D5" s="1855"/>
      <x:c r="E5" s="1856"/>
      <x:c r="F5" s="1856"/>
      <x:c r="G5" s="1855"/>
      <x:c r="H5" s="1855"/>
      <x:c r="I5" s="1855"/>
      <x:c r="J5" s="1856"/>
      <x:c r="K5" s="1856"/>
      <x:c r="L5" s="1856"/>
      <x:c r="M5" s="1857"/>
      <x:c r="N5" s="1855"/>
      <x:c r="O5" s="1858"/>
    </x:row>
    <x:row r="6" ht="24" customHeight="1">
      <x:c r="A6" s="1865" t="s">
        <x:v>53</x:v>
      </x:c>
      <x:c r="B6" s="1821" t="s">
        <x:v>54</x:v>
      </x:c>
      <x:c r="C6" s="1501" t="s">
        <x:v>55</x:v>
      </x:c>
      <x:c r="D6" s="1575">
        <x:v>64</x:v>
      </x:c>
      <x:c r="E6" s="1578">
        <x:v>84.52</x:v>
      </x:c>
      <x:c r="F6" s="819" t="n">
        <x:f>ROUND(D6*E6,2)</x:f>
        <x:v>5409.28</x:v>
      </x:c>
      <x:c r="G6" s="1575">
        <x:v>0</x:v>
      </x:c>
      <x:c r="H6" s="832">
        <x:v>0</x:v>
      </x:c>
      <x:c r="I6" s="833" t="n">
        <x:f>G6+H6</x:f>
        <x:v>0</x:v>
      </x:c>
      <x:c r="J6" s="819">
        <x:v>0</x:v>
      </x:c>
      <x:c r="K6" s="819" t="n">
        <x:f>ROUND(H6*E6,2)</x:f>
        <x:v>0</x:v>
      </x:c>
      <x:c r="L6" s="819" t="n">
        <x:f>J6+K6</x:f>
        <x:v>0</x:v>
      </x:c>
      <x:c r="M6" s="840" t="n">
        <x:f>IF(D6=0,0,I6/D6)</x:f>
        <x:v>0</x:v>
      </x:c>
      <x:c r="N6" s="833" t="n">
        <x:f>D6-I6</x:f>
        <x:v>64</x:v>
      </x:c>
      <x:c r="O6" s="850" t="n">
        <x:f>F6-L6</x:f>
        <x:v>5409.28</x:v>
      </x:c>
    </x:row>
    <x:row r="7" ht="31" customHeight="1">
      <x:c r="A7" s="1866" t="s">
        <x:v>56</x:v>
      </x:c>
      <x:c r="B7" s="1823" t="s">
        <x:v>57</x:v>
      </x:c>
      <x:c r="C7" s="249" t="s">
        <x:v>55</x:v>
      </x:c>
      <x:c r="D7" s="1576">
        <x:v>28</x:v>
      </x:c>
      <x:c r="E7" s="1579">
        <x:v>144.54</x:v>
      </x:c>
      <x:c r="F7" s="819" t="n">
        <x:f>ROUND(D7*E7,2)</x:f>
        <x:v>4047.12</x:v>
      </x:c>
      <x:c r="G7" s="1576">
        <x:v>0</x:v>
      </x:c>
      <x:c r="H7" s="832">
        <x:v>0</x:v>
      </x:c>
      <x:c r="I7" s="833" t="n">
        <x:f>G7+H7</x:f>
        <x:v>0</x:v>
      </x:c>
      <x:c r="J7" s="819">
        <x:v>0</x:v>
      </x:c>
      <x:c r="K7" s="819" t="n">
        <x:f>ROUND(H7*E7,2)</x:f>
        <x:v>0</x:v>
      </x:c>
      <x:c r="L7" s="819" t="n">
        <x:f>J7+K7</x:f>
        <x:v>0</x:v>
      </x:c>
      <x:c r="M7" s="840" t="n">
        <x:f>IF(D7=0,0,I7/D7)</x:f>
        <x:v>0</x:v>
      </x:c>
      <x:c r="N7" s="833" t="n">
        <x:f>D7-I7</x:f>
        <x:v>28</x:v>
      </x:c>
      <x:c r="O7" s="850" t="n">
        <x:f>F7-L7</x:f>
        <x:v>4047.12</x:v>
      </x:c>
    </x:row>
    <x:row r="8" ht="23" customHeight="1">
      <x:c r="A8" s="774" t="s">
        <x:v>58</x:v>
      </x:c>
      <x:c r="B8" s="515" t="s">
        <x:v>59</x:v>
      </x:c>
      <x:c r="C8" s="515"/>
      <x:c r="D8" s="1855"/>
      <x:c r="E8" s="1856"/>
      <x:c r="F8" s="1856"/>
      <x:c r="G8" s="1855"/>
      <x:c r="H8" s="1855"/>
      <x:c r="I8" s="1855"/>
      <x:c r="J8" s="1856"/>
      <x:c r="K8" s="1856"/>
      <x:c r="L8" s="1856"/>
      <x:c r="M8" s="1857"/>
      <x:c r="N8" s="1855"/>
      <x:c r="O8" s="1858"/>
    </x:row>
    <x:row r="9" ht="31" customHeight="1">
      <x:c r="A9" s="1865" t="s">
        <x:v>60</x:v>
      </x:c>
      <x:c r="B9" s="1821" t="s">
        <x:v>61</x:v>
      </x:c>
      <x:c r="C9" s="1501" t="s">
        <x:v>62</x:v>
      </x:c>
      <x:c r="D9" s="1575">
        <x:v>3.6</x:v>
      </x:c>
      <x:c r="E9" s="1578">
        <x:v>134.39</x:v>
      </x:c>
      <x:c r="F9" s="819" t="n">
        <x:f>ROUND(D9*E9,2)</x:f>
        <x:v>483.8</x:v>
      </x:c>
      <x:c r="G9" s="1575">
        <x:v>0</x:v>
      </x:c>
      <x:c r="H9" s="832">
        <x:v>0</x:v>
      </x:c>
      <x:c r="I9" s="833" t="n">
        <x:f>G9+H9</x:f>
        <x:v>0</x:v>
      </x:c>
      <x:c r="J9" s="819">
        <x:v>0</x:v>
      </x:c>
      <x:c r="K9" s="819" t="n">
        <x:f>ROUND(H9*E9,2)</x:f>
        <x:v>0</x:v>
      </x:c>
      <x:c r="L9" s="819" t="n">
        <x:f>J9+K9</x:f>
        <x:v>0</x:v>
      </x:c>
      <x:c r="M9" s="840" t="n">
        <x:f>IF(D9=0,0,I9/D9)</x:f>
        <x:v>0</x:v>
      </x:c>
      <x:c r="N9" s="833" t="n">
        <x:f>D9-I9</x:f>
        <x:v>3.6</x:v>
      </x:c>
      <x:c r="O9" s="850" t="n">
        <x:f>F9-L9</x:f>
        <x:v>483.8</x:v>
      </x:c>
    </x:row>
    <x:row r="10" ht="24" customHeight="1">
      <x:c r="A10" s="1866" t="s">
        <x:v>63</x:v>
      </x:c>
      <x:c r="B10" s="1823" t="s">
        <x:v>64</x:v>
      </x:c>
      <x:c r="C10" s="249" t="s">
        <x:v>65</x:v>
      </x:c>
      <x:c r="D10" s="1576">
        <x:v>87.69</x:v>
      </x:c>
      <x:c r="E10" s="1579">
        <x:v>18.58</x:v>
      </x:c>
      <x:c r="F10" s="819" t="n">
        <x:f>ROUND(D10*E10,2)</x:f>
        <x:v>1629.28</x:v>
      </x:c>
      <x:c r="G10" s="1576">
        <x:v>0</x:v>
      </x:c>
      <x:c r="H10" s="832">
        <x:v>0</x:v>
      </x:c>
      <x:c r="I10" s="833" t="n">
        <x:f>G10+H10</x:f>
        <x:v>0</x:v>
      </x:c>
      <x:c r="J10" s="819">
        <x:v>0</x:v>
      </x:c>
      <x:c r="K10" s="819" t="n">
        <x:f>ROUND(H10*E10,2)</x:f>
        <x:v>0</x:v>
      </x:c>
      <x:c r="L10" s="819" t="n">
        <x:f>J10+K10</x:f>
        <x:v>0</x:v>
      </x:c>
      <x:c r="M10" s="840" t="n">
        <x:f>IF(D10=0,0,I10/D10)</x:f>
        <x:v>0</x:v>
      </x:c>
      <x:c r="N10" s="833" t="n">
        <x:f>D10-I10</x:f>
        <x:v>87.69</x:v>
      </x:c>
      <x:c r="O10" s="850" t="n">
        <x:f>F10-L10</x:f>
        <x:v>1629.28</x:v>
      </x:c>
    </x:row>
    <x:row r="11" ht="31" customHeight="1">
      <x:c r="A11" s="1865" t="s">
        <x:v>66</x:v>
      </x:c>
      <x:c r="B11" s="1821" t="s">
        <x:v>67</x:v>
      </x:c>
      <x:c r="C11" s="1501" t="s">
        <x:v>65</x:v>
      </x:c>
      <x:c r="D11" s="1575">
        <x:v>14.96</x:v>
      </x:c>
      <x:c r="E11" s="1578">
        <x:v>28.61</x:v>
      </x:c>
      <x:c r="F11" s="819" t="n">
        <x:f>ROUND(D11*E11,2)</x:f>
        <x:v>428.01</x:v>
      </x:c>
      <x:c r="G11" s="1575">
        <x:v>0</x:v>
      </x:c>
      <x:c r="H11" s="832">
        <x:v>0</x:v>
      </x:c>
      <x:c r="I11" s="833" t="n">
        <x:f>G11+H11</x:f>
        <x:v>0</x:v>
      </x:c>
      <x:c r="J11" s="819">
        <x:v>0</x:v>
      </x:c>
      <x:c r="K11" s="819" t="n">
        <x:f>ROUND(H11*E11,2)</x:f>
        <x:v>0</x:v>
      </x:c>
      <x:c r="L11" s="819" t="n">
        <x:f>J11+K11</x:f>
        <x:v>0</x:v>
      </x:c>
      <x:c r="M11" s="840" t="n">
        <x:f>IF(D11=0,0,I11/D11)</x:f>
        <x:v>0</x:v>
      </x:c>
      <x:c r="N11" s="833" t="n">
        <x:f>D11-I11</x:f>
        <x:v>14.96</x:v>
      </x:c>
      <x:c r="O11" s="850" t="n">
        <x:f>F11-L11</x:f>
        <x:v>428.01</x:v>
      </x:c>
    </x:row>
    <x:row r="12" ht="31" customHeight="1">
      <x:c r="A12" s="1866" t="s">
        <x:v>68</x:v>
      </x:c>
      <x:c r="B12" s="1823" t="s">
        <x:v>67</x:v>
      </x:c>
      <x:c r="C12" s="249" t="s">
        <x:v>65</x:v>
      </x:c>
      <x:c r="D12" s="1576">
        <x:v>45.6</x:v>
      </x:c>
      <x:c r="E12" s="1579">
        <x:v>28.61</x:v>
      </x:c>
      <x:c r="F12" s="819" t="n">
        <x:f>ROUND(D12*E12,2)</x:f>
        <x:v>1304.62</x:v>
      </x:c>
      <x:c r="G12" s="1576">
        <x:v>0</x:v>
      </x:c>
      <x:c r="H12" s="832">
        <x:v>0</x:v>
      </x:c>
      <x:c r="I12" s="833" t="n">
        <x:f>G12+H12</x:f>
        <x:v>0</x:v>
      </x:c>
      <x:c r="J12" s="819">
        <x:v>0</x:v>
      </x:c>
      <x:c r="K12" s="819" t="n">
        <x:f>ROUND(H12*E12,2)</x:f>
        <x:v>0</x:v>
      </x:c>
      <x:c r="L12" s="819" t="n">
        <x:f>J12+K12</x:f>
        <x:v>0</x:v>
      </x:c>
      <x:c r="M12" s="840" t="n">
        <x:f>IF(D12=0,0,I12/D12)</x:f>
        <x:v>0</x:v>
      </x:c>
      <x:c r="N12" s="833" t="n">
        <x:f>D12-I12</x:f>
        <x:v>45.6</x:v>
      </x:c>
      <x:c r="O12" s="850" t="n">
        <x:f>F12-L12</x:f>
        <x:v>1304.62</x:v>
      </x:c>
    </x:row>
    <x:row r="13" ht="31" customHeight="1">
      <x:c r="A13" s="1865" t="s">
        <x:v>69</x:v>
      </x:c>
      <x:c r="B13" s="1821" t="s">
        <x:v>70</x:v>
      </x:c>
      <x:c r="C13" s="1501" t="s">
        <x:v>65</x:v>
      </x:c>
      <x:c r="D13" s="1575">
        <x:v>4.5</x:v>
      </x:c>
      <x:c r="E13" s="1578">
        <x:v>554.97</x:v>
      </x:c>
      <x:c r="F13" s="819" t="n">
        <x:f>ROUND(D13*E13,2)</x:f>
        <x:v>2497.37</x:v>
      </x:c>
      <x:c r="G13" s="1575">
        <x:v>0</x:v>
      </x:c>
      <x:c r="H13" s="832">
        <x:v>0</x:v>
      </x:c>
      <x:c r="I13" s="833" t="n">
        <x:f>G13+H13</x:f>
        <x:v>0</x:v>
      </x:c>
      <x:c r="J13" s="819">
        <x:v>0</x:v>
      </x:c>
      <x:c r="K13" s="819" t="n">
        <x:f>ROUND(H13*E13,2)</x:f>
        <x:v>0</x:v>
      </x:c>
      <x:c r="L13" s="819" t="n">
        <x:f>J13+K13</x:f>
        <x:v>0</x:v>
      </x:c>
      <x:c r="M13" s="840" t="n">
        <x:f>IF(D13=0,0,I13/D13)</x:f>
        <x:v>0</x:v>
      </x:c>
      <x:c r="N13" s="833" t="n">
        <x:f>D13-I13</x:f>
        <x:v>4.5</x:v>
      </x:c>
      <x:c r="O13" s="850" t="n">
        <x:f>F13-L13</x:f>
        <x:v>2497.37</x:v>
      </x:c>
    </x:row>
    <x:row r="14" ht="43" customHeight="1">
      <x:c r="A14" s="1866" t="s">
        <x:v>71</x:v>
      </x:c>
      <x:c r="B14" s="1823" t="s">
        <x:v>72</x:v>
      </x:c>
      <x:c r="C14" s="249" t="s">
        <x:v>73</x:v>
      </x:c>
      <x:c r="D14" s="1576">
        <x:v>2</x:v>
      </x:c>
      <x:c r="E14" s="1579">
        <x:v>130.19</x:v>
      </x:c>
      <x:c r="F14" s="819" t="n">
        <x:f>ROUND(D14*E14,2)</x:f>
        <x:v>260.38</x:v>
      </x:c>
      <x:c r="G14" s="1576">
        <x:v>0</x:v>
      </x:c>
      <x:c r="H14" s="832">
        <x:v>0</x:v>
      </x:c>
      <x:c r="I14" s="833" t="n">
        <x:f>G14+H14</x:f>
        <x:v>0</x:v>
      </x:c>
      <x:c r="J14" s="819">
        <x:v>0</x:v>
      </x:c>
      <x:c r="K14" s="819" t="n">
        <x:f>ROUND(H14*E14,2)</x:f>
        <x:v>0</x:v>
      </x:c>
      <x:c r="L14" s="819" t="n">
        <x:f>J14+K14</x:f>
        <x:v>0</x:v>
      </x:c>
      <x:c r="M14" s="840" t="n">
        <x:f>IF(D14=0,0,I14/D14)</x:f>
        <x:v>0</x:v>
      </x:c>
      <x:c r="N14" s="833" t="n">
        <x:f>D14-I14</x:f>
        <x:v>2</x:v>
      </x:c>
      <x:c r="O14" s="850" t="n">
        <x:f>F14-L14</x:f>
        <x:v>260.38</x:v>
      </x:c>
    </x:row>
    <x:row r="15" ht="24" customHeight="1">
      <x:c r="A15" s="1865" t="s">
        <x:v>74</x:v>
      </x:c>
      <x:c r="B15" s="1821" t="s">
        <x:v>75</x:v>
      </x:c>
      <x:c r="C15" s="1501" t="s">
        <x:v>62</x:v>
      </x:c>
      <x:c r="D15" s="1575">
        <x:v>4.81</x:v>
      </x:c>
      <x:c r="E15" s="1578">
        <x:v>9.89</x:v>
      </x:c>
      <x:c r="F15" s="819" t="n">
        <x:f>ROUND(D15*E15,2)</x:f>
        <x:v>47.57</x:v>
      </x:c>
      <x:c r="G15" s="1575">
        <x:v>0</x:v>
      </x:c>
      <x:c r="H15" s="832">
        <x:v>0</x:v>
      </x:c>
      <x:c r="I15" s="833" t="n">
        <x:f>G15+H15</x:f>
        <x:v>0</x:v>
      </x:c>
      <x:c r="J15" s="819">
        <x:v>0</x:v>
      </x:c>
      <x:c r="K15" s="819" t="n">
        <x:f>ROUND(H15*E15,2)</x:f>
        <x:v>0</x:v>
      </x:c>
      <x:c r="L15" s="819" t="n">
        <x:f>J15+K15</x:f>
        <x:v>0</x:v>
      </x:c>
      <x:c r="M15" s="840" t="n">
        <x:f>IF(D15=0,0,I15/D15)</x:f>
        <x:v>0</x:v>
      </x:c>
      <x:c r="N15" s="833" t="n">
        <x:f>D15-I15</x:f>
        <x:v>4.81</x:v>
      </x:c>
      <x:c r="O15" s="850" t="n">
        <x:f>F15-L15</x:f>
        <x:v>47.57</x:v>
      </x:c>
    </x:row>
    <x:row r="16" ht="23" customHeight="1">
      <x:c r="A16" s="774" t="s">
        <x:v>76</x:v>
      </x:c>
      <x:c r="B16" s="515" t="s">
        <x:v>77</x:v>
      </x:c>
      <x:c r="C16" s="515"/>
      <x:c r="D16" s="1855"/>
      <x:c r="E16" s="1856"/>
      <x:c r="F16" s="1856"/>
      <x:c r="G16" s="1855"/>
      <x:c r="H16" s="1855"/>
      <x:c r="I16" s="1855"/>
      <x:c r="J16" s="1856"/>
      <x:c r="K16" s="1856"/>
      <x:c r="L16" s="1856"/>
      <x:c r="M16" s="1857"/>
      <x:c r="N16" s="1855"/>
      <x:c r="O16" s="1858"/>
    </x:row>
    <x:row r="17" ht="23" customHeight="1">
      <x:c r="A17" s="792" t="s">
        <x:v>78</x:v>
      </x:c>
      <x:c r="B17" s="539" t="s">
        <x:v>79</x:v>
      </x:c>
      <x:c r="C17" s="539"/>
      <x:c r="D17" s="1859"/>
      <x:c r="E17" s="1860"/>
      <x:c r="F17" s="1860"/>
      <x:c r="G17" s="1859"/>
      <x:c r="H17" s="1859"/>
      <x:c r="I17" s="1859"/>
      <x:c r="J17" s="1860"/>
      <x:c r="K17" s="1860"/>
      <x:c r="L17" s="1860"/>
      <x:c r="M17" s="1861"/>
      <x:c r="N17" s="1859"/>
      <x:c r="O17" s="1862"/>
    </x:row>
    <x:row r="18" ht="43" customHeight="1">
      <x:c r="A18" s="1866" t="s">
        <x:v>80</x:v>
      </x:c>
      <x:c r="B18" s="1823" t="s">
        <x:v>81</x:v>
      </x:c>
      <x:c r="C18" s="249" t="s">
        <x:v>65</x:v>
      </x:c>
      <x:c r="D18" s="1576">
        <x:v>10.1</x:v>
      </x:c>
      <x:c r="E18" s="1579">
        <x:v>81.82</x:v>
      </x:c>
      <x:c r="F18" s="819" t="n">
        <x:f>ROUND(D18*E18,2)</x:f>
        <x:v>826.38</x:v>
      </x:c>
      <x:c r="G18" s="1576">
        <x:v>0</x:v>
      </x:c>
      <x:c r="H18" s="832">
        <x:v>0</x:v>
      </x:c>
      <x:c r="I18" s="833" t="n">
        <x:f>G18+H18</x:f>
        <x:v>0</x:v>
      </x:c>
      <x:c r="J18" s="819">
        <x:v>0</x:v>
      </x:c>
      <x:c r="K18" s="819" t="n">
        <x:f>ROUND(H18*E18,2)</x:f>
        <x:v>0</x:v>
      </x:c>
      <x:c r="L18" s="819" t="n">
        <x:f>J18+K18</x:f>
        <x:v>0</x:v>
      </x:c>
      <x:c r="M18" s="840" t="n">
        <x:f>IF(D18=0,0,I18/D18)</x:f>
        <x:v>0</x:v>
      </x:c>
      <x:c r="N18" s="833" t="n">
        <x:f>D18-I18</x:f>
        <x:v>10.1</x:v>
      </x:c>
      <x:c r="O18" s="850" t="n">
        <x:f>F18-L18</x:f>
        <x:v>826.38</x:v>
      </x:c>
    </x:row>
    <x:row r="19" ht="43" customHeight="1">
      <x:c r="A19" s="1865" t="s">
        <x:v>82</x:v>
      </x:c>
      <x:c r="B19" s="1821" t="s">
        <x:v>83</x:v>
      </x:c>
      <x:c r="C19" s="1501" t="s">
        <x:v>65</x:v>
      </x:c>
      <x:c r="D19" s="1575">
        <x:v>20.2</x:v>
      </x:c>
      <x:c r="E19" s="1578">
        <x:v>6.02</x:v>
      </x:c>
      <x:c r="F19" s="819" t="n">
        <x:f>ROUND(D19*E19,2)</x:f>
        <x:v>121.6</x:v>
      </x:c>
      <x:c r="G19" s="1575">
        <x:v>0</x:v>
      </x:c>
      <x:c r="H19" s="832">
        <x:v>0</x:v>
      </x:c>
      <x:c r="I19" s="833" t="n">
        <x:f>G19+H19</x:f>
        <x:v>0</x:v>
      </x:c>
      <x:c r="J19" s="819">
        <x:v>0</x:v>
      </x:c>
      <x:c r="K19" s="819" t="n">
        <x:f>ROUND(H19*E19,2)</x:f>
        <x:v>0</x:v>
      </x:c>
      <x:c r="L19" s="819" t="n">
        <x:f>J19+K19</x:f>
        <x:v>0</x:v>
      </x:c>
      <x:c r="M19" s="840" t="n">
        <x:f>IF(D19=0,0,I19/D19)</x:f>
        <x:v>0</x:v>
      </x:c>
      <x:c r="N19" s="833" t="n">
        <x:f>D19-I19</x:f>
        <x:v>20.2</x:v>
      </x:c>
      <x:c r="O19" s="850" t="n">
        <x:f>F19-L19</x:f>
        <x:v>121.6</x:v>
      </x:c>
    </x:row>
    <x:row r="20" ht="43" customHeight="1">
      <x:c r="A20" s="1866" t="s">
        <x:v>84</x:v>
      </x:c>
      <x:c r="B20" s="1823" t="s">
        <x:v>85</x:v>
      </x:c>
      <x:c r="C20" s="249" t="s">
        <x:v>65</x:v>
      </x:c>
      <x:c r="D20" s="1576">
        <x:v>20.2</x:v>
      </x:c>
      <x:c r="E20" s="1579">
        <x:v>39.46</x:v>
      </x:c>
      <x:c r="F20" s="819" t="n">
        <x:f>ROUND(D20*E20,2)</x:f>
        <x:v>797.09</x:v>
      </x:c>
      <x:c r="G20" s="1576">
        <x:v>0</x:v>
      </x:c>
      <x:c r="H20" s="832">
        <x:v>0</x:v>
      </x:c>
      <x:c r="I20" s="833" t="n">
        <x:f>G20+H20</x:f>
        <x:v>0</x:v>
      </x:c>
      <x:c r="J20" s="819">
        <x:v>0</x:v>
      </x:c>
      <x:c r="K20" s="819" t="n">
        <x:f>ROUND(H20*E20,2)</x:f>
        <x:v>0</x:v>
      </x:c>
      <x:c r="L20" s="819" t="n">
        <x:f>J20+K20</x:f>
        <x:v>0</x:v>
      </x:c>
      <x:c r="M20" s="840" t="n">
        <x:f>IF(D20=0,0,I20/D20)</x:f>
        <x:v>0</x:v>
      </x:c>
      <x:c r="N20" s="833" t="n">
        <x:f>D20-I20</x:f>
        <x:v>20.2</x:v>
      </x:c>
      <x:c r="O20" s="850" t="n">
        <x:f>F20-L20</x:f>
        <x:v>797.09</x:v>
      </x:c>
    </x:row>
    <x:row r="21" ht="23" customHeight="1">
      <x:c r="A21" s="792" t="s">
        <x:v>86</x:v>
      </x:c>
      <x:c r="B21" s="539" t="s">
        <x:v>87</x:v>
      </x:c>
      <x:c r="C21" s="539"/>
      <x:c r="D21" s="1859"/>
      <x:c r="E21" s="1860"/>
      <x:c r="F21" s="1860"/>
      <x:c r="G21" s="1859"/>
      <x:c r="H21" s="1859"/>
      <x:c r="I21" s="1859"/>
      <x:c r="J21" s="1860"/>
      <x:c r="K21" s="1860"/>
      <x:c r="L21" s="1860"/>
      <x:c r="M21" s="1861"/>
      <x:c r="N21" s="1859"/>
      <x:c r="O21" s="1862"/>
    </x:row>
    <x:row r="22" ht="43" customHeight="1">
      <x:c r="A22" s="1865" t="s">
        <x:v>88</x:v>
      </x:c>
      <x:c r="B22" s="1821" t="s">
        <x:v>81</x:v>
      </x:c>
      <x:c r="C22" s="1501" t="s">
        <x:v>65</x:v>
      </x:c>
      <x:c r="D22" s="1575">
        <x:v>1.89</x:v>
      </x:c>
      <x:c r="E22" s="1578">
        <x:v>81.82</x:v>
      </x:c>
      <x:c r="F22" s="819" t="n">
        <x:f>ROUND(D22*E22,2)</x:f>
        <x:v>154.64</x:v>
      </x:c>
      <x:c r="G22" s="1575">
        <x:v>0</x:v>
      </x:c>
      <x:c r="H22" s="832">
        <x:v>0</x:v>
      </x:c>
      <x:c r="I22" s="833" t="n">
        <x:f>G22+H22</x:f>
        <x:v>0</x:v>
      </x:c>
      <x:c r="J22" s="819">
        <x:v>0</x:v>
      </x:c>
      <x:c r="K22" s="819" t="n">
        <x:f>ROUND(H22*E22,2)</x:f>
        <x:v>0</x:v>
      </x:c>
      <x:c r="L22" s="819" t="n">
        <x:f>J22+K22</x:f>
        <x:v>0</x:v>
      </x:c>
      <x:c r="M22" s="840" t="n">
        <x:f>IF(D22=0,0,I22/D22)</x:f>
        <x:v>0</x:v>
      </x:c>
      <x:c r="N22" s="833" t="n">
        <x:f>D22-I22</x:f>
        <x:v>1.89</x:v>
      </x:c>
      <x:c r="O22" s="850" t="n">
        <x:f>F22-L22</x:f>
        <x:v>154.64</x:v>
      </x:c>
    </x:row>
    <x:row r="23" ht="43" customHeight="1">
      <x:c r="A23" s="1866" t="s">
        <x:v>89</x:v>
      </x:c>
      <x:c r="B23" s="1823" t="s">
        <x:v>90</x:v>
      </x:c>
      <x:c r="C23" s="249" t="s">
        <x:v>65</x:v>
      </x:c>
      <x:c r="D23" s="1576">
        <x:v>0.76</x:v>
      </x:c>
      <x:c r="E23" s="1579">
        <x:v>109.21</x:v>
      </x:c>
      <x:c r="F23" s="819" t="n">
        <x:f>ROUND(D23*E23,2)</x:f>
        <x:v>83</x:v>
      </x:c>
      <x:c r="G23" s="1576">
        <x:v>0</x:v>
      </x:c>
      <x:c r="H23" s="832">
        <x:v>0</x:v>
      </x:c>
      <x:c r="I23" s="833" t="n">
        <x:f>G23+H23</x:f>
        <x:v>0</x:v>
      </x:c>
      <x:c r="J23" s="819">
        <x:v>0</x:v>
      </x:c>
      <x:c r="K23" s="819" t="n">
        <x:f>ROUND(H23*E23,2)</x:f>
        <x:v>0</x:v>
      </x:c>
      <x:c r="L23" s="819" t="n">
        <x:f>J23+K23</x:f>
        <x:v>0</x:v>
      </x:c>
      <x:c r="M23" s="840" t="n">
        <x:f>IF(D23=0,0,I23/D23)</x:f>
        <x:v>0</x:v>
      </x:c>
      <x:c r="N23" s="833" t="n">
        <x:f>D23-I23</x:f>
        <x:v>0.76</x:v>
      </x:c>
      <x:c r="O23" s="850" t="n">
        <x:f>F23-L23</x:f>
        <x:v>83</x:v>
      </x:c>
    </x:row>
    <x:row r="24" ht="43" customHeight="1">
      <x:c r="A24" s="1865" t="s">
        <x:v>91</x:v>
      </x:c>
      <x:c r="B24" s="1821" t="s">
        <x:v>83</x:v>
      </x:c>
      <x:c r="C24" s="1501" t="s">
        <x:v>65</x:v>
      </x:c>
      <x:c r="D24" s="1575">
        <x:v>5.3</x:v>
      </x:c>
      <x:c r="E24" s="1578">
        <x:v>6.02</x:v>
      </x:c>
      <x:c r="F24" s="819" t="n">
        <x:f>ROUND(D24*E24,2)</x:f>
        <x:v>31.91</x:v>
      </x:c>
      <x:c r="G24" s="1575">
        <x:v>0</x:v>
      </x:c>
      <x:c r="H24" s="832">
        <x:v>0</x:v>
      </x:c>
      <x:c r="I24" s="833" t="n">
        <x:f>G24+H24</x:f>
        <x:v>0</x:v>
      </x:c>
      <x:c r="J24" s="819">
        <x:v>0</x:v>
      </x:c>
      <x:c r="K24" s="819" t="n">
        <x:f>ROUND(H24*E24,2)</x:f>
        <x:v>0</x:v>
      </x:c>
      <x:c r="L24" s="819" t="n">
        <x:f>J24+K24</x:f>
        <x:v>0</x:v>
      </x:c>
      <x:c r="M24" s="840" t="n">
        <x:f>IF(D24=0,0,I24/D24)</x:f>
        <x:v>0</x:v>
      </x:c>
      <x:c r="N24" s="833" t="n">
        <x:f>D24-I24</x:f>
        <x:v>5.3</x:v>
      </x:c>
      <x:c r="O24" s="850" t="n">
        <x:f>F24-L24</x:f>
        <x:v>31.91</x:v>
      </x:c>
    </x:row>
    <x:row r="25" ht="43" customHeight="1">
      <x:c r="A25" s="1866" t="s">
        <x:v>92</x:v>
      </x:c>
      <x:c r="B25" s="1823" t="s">
        <x:v>85</x:v>
      </x:c>
      <x:c r="C25" s="249" t="s">
        <x:v>65</x:v>
      </x:c>
      <x:c r="D25" s="1576">
        <x:v>5.3</x:v>
      </x:c>
      <x:c r="E25" s="1579">
        <x:v>39.46</x:v>
      </x:c>
      <x:c r="F25" s="819" t="n">
        <x:f>ROUND(D25*E25,2)</x:f>
        <x:v>209.14</x:v>
      </x:c>
      <x:c r="G25" s="1576">
        <x:v>0</x:v>
      </x:c>
      <x:c r="H25" s="832">
        <x:v>0</x:v>
      </x:c>
      <x:c r="I25" s="833" t="n">
        <x:f>G25+H25</x:f>
        <x:v>0</x:v>
      </x:c>
      <x:c r="J25" s="819">
        <x:v>0</x:v>
      </x:c>
      <x:c r="K25" s="819" t="n">
        <x:f>ROUND(H25*E25,2)</x:f>
        <x:v>0</x:v>
      </x:c>
      <x:c r="L25" s="819" t="n">
        <x:f>J25+K25</x:f>
        <x:v>0</x:v>
      </x:c>
      <x:c r="M25" s="840" t="n">
        <x:f>IF(D25=0,0,I25/D25)</x:f>
        <x:v>0</x:v>
      </x:c>
      <x:c r="N25" s="833" t="n">
        <x:f>D25-I25</x:f>
        <x:v>5.3</x:v>
      </x:c>
      <x:c r="O25" s="850" t="n">
        <x:f>F25-L25</x:f>
        <x:v>209.14</x:v>
      </x:c>
    </x:row>
    <x:row r="26" ht="23" customHeight="1">
      <x:c r="A26" s="792" t="s">
        <x:v>93</x:v>
      </x:c>
      <x:c r="B26" s="539" t="s">
        <x:v>94</x:v>
      </x:c>
      <x:c r="C26" s="539"/>
      <x:c r="D26" s="1859"/>
      <x:c r="E26" s="1860"/>
      <x:c r="F26" s="1860"/>
      <x:c r="G26" s="1859"/>
      <x:c r="H26" s="1859"/>
      <x:c r="I26" s="1859"/>
      <x:c r="J26" s="1860"/>
      <x:c r="K26" s="1860"/>
      <x:c r="L26" s="1860"/>
      <x:c r="M26" s="1861"/>
      <x:c r="N26" s="1859"/>
      <x:c r="O26" s="1862"/>
    </x:row>
    <x:row r="27" ht="43" customHeight="1">
      <x:c r="A27" s="1865" t="s">
        <x:v>95</x:v>
      </x:c>
      <x:c r="B27" s="1821" t="s">
        <x:v>90</x:v>
      </x:c>
      <x:c r="C27" s="1501" t="s">
        <x:v>65</x:v>
      </x:c>
      <x:c r="D27" s="1575">
        <x:v>0.66</x:v>
      </x:c>
      <x:c r="E27" s="1578">
        <x:v>109.21</x:v>
      </x:c>
      <x:c r="F27" s="819" t="n">
        <x:f>ROUND(D27*E27,2)</x:f>
        <x:v>72.08</x:v>
      </x:c>
      <x:c r="G27" s="1575">
        <x:v>0</x:v>
      </x:c>
      <x:c r="H27" s="832">
        <x:v>0</x:v>
      </x:c>
      <x:c r="I27" s="833" t="n">
        <x:f>G27+H27</x:f>
        <x:v>0</x:v>
      </x:c>
      <x:c r="J27" s="819">
        <x:v>0</x:v>
      </x:c>
      <x:c r="K27" s="819" t="n">
        <x:f>ROUND(H27*E27,2)</x:f>
        <x:v>0</x:v>
      </x:c>
      <x:c r="L27" s="819" t="n">
        <x:f>J27+K27</x:f>
        <x:v>0</x:v>
      </x:c>
      <x:c r="M27" s="840" t="n">
        <x:f>IF(D27=0,0,I27/D27)</x:f>
        <x:v>0</x:v>
      </x:c>
      <x:c r="N27" s="833" t="n">
        <x:f>D27-I27</x:f>
        <x:v>0.66</x:v>
      </x:c>
      <x:c r="O27" s="850" t="n">
        <x:f>F27-L27</x:f>
        <x:v>72.08</x:v>
      </x:c>
    </x:row>
    <x:row r="28" ht="43" customHeight="1">
      <x:c r="A28" s="1866" t="s">
        <x:v>96</x:v>
      </x:c>
      <x:c r="B28" s="1823" t="s">
        <x:v>97</x:v>
      </x:c>
      <x:c r="C28" s="249" t="s">
        <x:v>65</x:v>
      </x:c>
      <x:c r="D28" s="1576">
        <x:v>1.32</x:v>
      </x:c>
      <x:c r="E28" s="1579">
        <x:v>6.02</x:v>
      </x:c>
      <x:c r="F28" s="819" t="n">
        <x:f>ROUND(D28*E28,2)</x:f>
        <x:v>7.95</x:v>
      </x:c>
      <x:c r="G28" s="1576">
        <x:v>0</x:v>
      </x:c>
      <x:c r="H28" s="832">
        <x:v>0</x:v>
      </x:c>
      <x:c r="I28" s="833" t="n">
        <x:f>G28+H28</x:f>
        <x:v>0</x:v>
      </x:c>
      <x:c r="J28" s="819">
        <x:v>0</x:v>
      </x:c>
      <x:c r="K28" s="819" t="n">
        <x:f>ROUND(H28*E28,2)</x:f>
        <x:v>0</x:v>
      </x:c>
      <x:c r="L28" s="819" t="n">
        <x:f>J28+K28</x:f>
        <x:v>0</x:v>
      </x:c>
      <x:c r="M28" s="840" t="n">
        <x:f>IF(D28=0,0,I28/D28)</x:f>
        <x:v>0</x:v>
      </x:c>
      <x:c r="N28" s="833" t="n">
        <x:f>D28-I28</x:f>
        <x:v>1.32</x:v>
      </x:c>
      <x:c r="O28" s="850" t="n">
        <x:f>F28-L28</x:f>
        <x:v>7.95</x:v>
      </x:c>
    </x:row>
    <x:row r="29" ht="43" customHeight="1">
      <x:c r="A29" s="1865" t="s">
        <x:v>98</x:v>
      </x:c>
      <x:c r="B29" s="1821" t="s">
        <x:v>85</x:v>
      </x:c>
      <x:c r="C29" s="1501" t="s">
        <x:v>65</x:v>
      </x:c>
      <x:c r="D29" s="1575">
        <x:v>1.32</x:v>
      </x:c>
      <x:c r="E29" s="1578">
        <x:v>39.46</x:v>
      </x:c>
      <x:c r="F29" s="819" t="n">
        <x:f>ROUND(D29*E29,2)</x:f>
        <x:v>52.09</x:v>
      </x:c>
      <x:c r="G29" s="1575">
        <x:v>0</x:v>
      </x:c>
      <x:c r="H29" s="832">
        <x:v>0</x:v>
      </x:c>
      <x:c r="I29" s="833" t="n">
        <x:f>G29+H29</x:f>
        <x:v>0</x:v>
      </x:c>
      <x:c r="J29" s="819">
        <x:v>0</x:v>
      </x:c>
      <x:c r="K29" s="819" t="n">
        <x:f>ROUND(H29*E29,2)</x:f>
        <x:v>0</x:v>
      </x:c>
      <x:c r="L29" s="819" t="n">
        <x:f>J29+K29</x:f>
        <x:v>0</x:v>
      </x:c>
      <x:c r="M29" s="840" t="n">
        <x:f>IF(D29=0,0,I29/D29)</x:f>
        <x:v>0</x:v>
      </x:c>
      <x:c r="N29" s="833" t="n">
        <x:f>D29-I29</x:f>
        <x:v>1.32</x:v>
      </x:c>
      <x:c r="O29" s="850" t="n">
        <x:f>F29-L29</x:f>
        <x:v>52.09</x:v>
      </x:c>
    </x:row>
    <x:row r="30" ht="23" customHeight="1">
      <x:c r="A30" s="792" t="s">
        <x:v>99</x:v>
      </x:c>
      <x:c r="B30" s="539" t="s">
        <x:v>100</x:v>
      </x:c>
      <x:c r="C30" s="539"/>
      <x:c r="D30" s="1859"/>
      <x:c r="E30" s="1860"/>
      <x:c r="F30" s="1860"/>
      <x:c r="G30" s="1859"/>
      <x:c r="H30" s="1859"/>
      <x:c r="I30" s="1859"/>
      <x:c r="J30" s="1860"/>
      <x:c r="K30" s="1860"/>
      <x:c r="L30" s="1860"/>
      <x:c r="M30" s="1861"/>
      <x:c r="N30" s="1859"/>
      <x:c r="O30" s="1862"/>
    </x:row>
    <x:row r="31" ht="43" customHeight="1">
      <x:c r="A31" s="1866" t="s">
        <x:v>101</x:v>
      </x:c>
      <x:c r="B31" s="1823" t="s">
        <x:v>81</x:v>
      </x:c>
      <x:c r="C31" s="249" t="s">
        <x:v>65</x:v>
      </x:c>
      <x:c r="D31" s="1576">
        <x:v>6.53</x:v>
      </x:c>
      <x:c r="E31" s="1579">
        <x:v>81.82</x:v>
      </x:c>
      <x:c r="F31" s="819" t="n">
        <x:f>ROUND(D31*E31,2)</x:f>
        <x:v>534.28</x:v>
      </x:c>
      <x:c r="G31" s="1576">
        <x:v>0</x:v>
      </x:c>
      <x:c r="H31" s="832">
        <x:v>0</x:v>
      </x:c>
      <x:c r="I31" s="833" t="n">
        <x:f>G31+H31</x:f>
        <x:v>0</x:v>
      </x:c>
      <x:c r="J31" s="819">
        <x:v>0</x:v>
      </x:c>
      <x:c r="K31" s="819" t="n">
        <x:f>ROUND(H31*E31,2)</x:f>
        <x:v>0</x:v>
      </x:c>
      <x:c r="L31" s="819" t="n">
        <x:f>J31+K31</x:f>
        <x:v>0</x:v>
      </x:c>
      <x:c r="M31" s="840" t="n">
        <x:f>IF(D31=0,0,I31/D31)</x:f>
        <x:v>0</x:v>
      </x:c>
      <x:c r="N31" s="833" t="n">
        <x:f>D31-I31</x:f>
        <x:v>6.53</x:v>
      </x:c>
      <x:c r="O31" s="850" t="n">
        <x:f>F31-L31</x:f>
        <x:v>534.28</x:v>
      </x:c>
    </x:row>
    <x:row r="32" ht="43" customHeight="1">
      <x:c r="A32" s="1865" t="s">
        <x:v>102</x:v>
      </x:c>
      <x:c r="B32" s="1821" t="s">
        <x:v>81</x:v>
      </x:c>
      <x:c r="C32" s="1501" t="s">
        <x:v>65</x:v>
      </x:c>
      <x:c r="D32" s="1575">
        <x:v>23.98</x:v>
      </x:c>
      <x:c r="E32" s="1578">
        <x:v>81.82</x:v>
      </x:c>
      <x:c r="F32" s="819" t="n">
        <x:f>ROUND(D32*E32,2)</x:f>
        <x:v>1962.04</x:v>
      </x:c>
      <x:c r="G32" s="1575">
        <x:v>0</x:v>
      </x:c>
      <x:c r="H32" s="832">
        <x:v>0</x:v>
      </x:c>
      <x:c r="I32" s="833" t="n">
        <x:f>G32+H32</x:f>
        <x:v>0</x:v>
      </x:c>
      <x:c r="J32" s="819">
        <x:v>0</x:v>
      </x:c>
      <x:c r="K32" s="819" t="n">
        <x:f>ROUND(H32*E32,2)</x:f>
        <x:v>0</x:v>
      </x:c>
      <x:c r="L32" s="819" t="n">
        <x:f>J32+K32</x:f>
        <x:v>0</x:v>
      </x:c>
      <x:c r="M32" s="840" t="n">
        <x:f>IF(D32=0,0,I32/D32)</x:f>
        <x:v>0</x:v>
      </x:c>
      <x:c r="N32" s="833" t="n">
        <x:f>D32-I32</x:f>
        <x:v>23.98</x:v>
      </x:c>
      <x:c r="O32" s="850" t="n">
        <x:f>F32-L32</x:f>
        <x:v>1962.04</x:v>
      </x:c>
    </x:row>
    <x:row r="33" ht="43" customHeight="1">
      <x:c r="A33" s="1866" t="s">
        <x:v>103</x:v>
      </x:c>
      <x:c r="B33" s="1823" t="s">
        <x:v>83</x:v>
      </x:c>
      <x:c r="C33" s="249" t="s">
        <x:v>65</x:v>
      </x:c>
      <x:c r="D33" s="1576">
        <x:v>30.51</x:v>
      </x:c>
      <x:c r="E33" s="1579">
        <x:v>6.02</x:v>
      </x:c>
      <x:c r="F33" s="819" t="n">
        <x:f>ROUND(D33*E33,2)</x:f>
        <x:v>183.67</x:v>
      </x:c>
      <x:c r="G33" s="1576">
        <x:v>0</x:v>
      </x:c>
      <x:c r="H33" s="832">
        <x:v>0</x:v>
      </x:c>
      <x:c r="I33" s="833" t="n">
        <x:f>G33+H33</x:f>
        <x:v>0</x:v>
      </x:c>
      <x:c r="J33" s="819">
        <x:v>0</x:v>
      </x:c>
      <x:c r="K33" s="819" t="n">
        <x:f>ROUND(H33*E33,2)</x:f>
        <x:v>0</x:v>
      </x:c>
      <x:c r="L33" s="819" t="n">
        <x:f>J33+K33</x:f>
        <x:v>0</x:v>
      </x:c>
      <x:c r="M33" s="840" t="n">
        <x:f>IF(D33=0,0,I33/D33)</x:f>
        <x:v>0</x:v>
      </x:c>
      <x:c r="N33" s="833" t="n">
        <x:f>D33-I33</x:f>
        <x:v>30.51</x:v>
      </x:c>
      <x:c r="O33" s="850" t="n">
        <x:f>F33-L33</x:f>
        <x:v>183.67</x:v>
      </x:c>
    </x:row>
    <x:row r="34" ht="43" customHeight="1">
      <x:c r="A34" s="1865" t="s">
        <x:v>104</x:v>
      </x:c>
      <x:c r="B34" s="1821" t="s">
        <x:v>85</x:v>
      </x:c>
      <x:c r="C34" s="1501" t="s">
        <x:v>65</x:v>
      </x:c>
      <x:c r="D34" s="1575">
        <x:v>30.51</x:v>
      </x:c>
      <x:c r="E34" s="1578">
        <x:v>39.46</x:v>
      </x:c>
      <x:c r="F34" s="819" t="n">
        <x:f>ROUND(D34*E34,2)</x:f>
        <x:v>1203.92</x:v>
      </x:c>
      <x:c r="G34" s="1575">
        <x:v>0</x:v>
      </x:c>
      <x:c r="H34" s="832">
        <x:v>0</x:v>
      </x:c>
      <x:c r="I34" s="833" t="n">
        <x:f>G34+H34</x:f>
        <x:v>0</x:v>
      </x:c>
      <x:c r="J34" s="819">
        <x:v>0</x:v>
      </x:c>
      <x:c r="K34" s="819" t="n">
        <x:f>ROUND(H34*E34,2)</x:f>
        <x:v>0</x:v>
      </x:c>
      <x:c r="L34" s="819" t="n">
        <x:f>J34+K34</x:f>
        <x:v>0</x:v>
      </x:c>
      <x:c r="M34" s="840" t="n">
        <x:f>IF(D34=0,0,I34/D34)</x:f>
        <x:v>0</x:v>
      </x:c>
      <x:c r="N34" s="833" t="n">
        <x:f>D34-I34</x:f>
        <x:v>30.51</x:v>
      </x:c>
      <x:c r="O34" s="850" t="n">
        <x:f>F34-L34</x:f>
        <x:v>1203.92</x:v>
      </x:c>
    </x:row>
    <x:row r="35" ht="23" customHeight="1">
      <x:c r="A35" s="774" t="s">
        <x:v>105</x:v>
      </x:c>
      <x:c r="B35" s="515" t="s">
        <x:v>106</x:v>
      </x:c>
      <x:c r="C35" s="515"/>
      <x:c r="D35" s="1855"/>
      <x:c r="E35" s="1856"/>
      <x:c r="F35" s="1856"/>
      <x:c r="G35" s="1855"/>
      <x:c r="H35" s="1855"/>
      <x:c r="I35" s="1855"/>
      <x:c r="J35" s="1856"/>
      <x:c r="K35" s="1856"/>
      <x:c r="L35" s="1856"/>
      <x:c r="M35" s="1857"/>
      <x:c r="N35" s="1855"/>
      <x:c r="O35" s="1858"/>
    </x:row>
    <x:row r="36" ht="23" customHeight="1">
      <x:c r="A36" s="792" t="s">
        <x:v>107</x:v>
      </x:c>
      <x:c r="B36" s="539" t="s">
        <x:v>108</x:v>
      </x:c>
      <x:c r="C36" s="539"/>
      <x:c r="D36" s="1859"/>
      <x:c r="E36" s="1860"/>
      <x:c r="F36" s="1860"/>
      <x:c r="G36" s="1859"/>
      <x:c r="H36" s="1859"/>
      <x:c r="I36" s="1859"/>
      <x:c r="J36" s="1860"/>
      <x:c r="K36" s="1860"/>
      <x:c r="L36" s="1860"/>
      <x:c r="M36" s="1861"/>
      <x:c r="N36" s="1859"/>
      <x:c r="O36" s="1862"/>
    </x:row>
    <x:row r="37" ht="23" customHeight="1">
      <x:c r="A37" s="792" t="s">
        <x:v>109</x:v>
      </x:c>
      <x:c r="B37" s="539" t="s">
        <x:v>100</x:v>
      </x:c>
      <x:c r="C37" s="539"/>
      <x:c r="D37" s="1859"/>
      <x:c r="E37" s="1860"/>
      <x:c r="F37" s="1860"/>
      <x:c r="G37" s="1859"/>
      <x:c r="H37" s="1859"/>
      <x:c r="I37" s="1859"/>
      <x:c r="J37" s="1860"/>
      <x:c r="K37" s="1860"/>
      <x:c r="L37" s="1860"/>
      <x:c r="M37" s="1861"/>
      <x:c r="N37" s="1859"/>
      <x:c r="O37" s="1862"/>
    </x:row>
    <x:row r="38" ht="43" customHeight="1">
      <x:c r="A38" s="1866" t="s">
        <x:v>110</x:v>
      </x:c>
      <x:c r="B38" s="1823" t="s">
        <x:v>111</x:v>
      </x:c>
      <x:c r="C38" s="249" t="s">
        <x:v>65</x:v>
      </x:c>
      <x:c r="D38" s="1576">
        <x:v>82.86</x:v>
      </x:c>
      <x:c r="E38" s="1579">
        <x:v>77.78</x:v>
      </x:c>
      <x:c r="F38" s="819" t="n">
        <x:f>ROUND(D38*E38,2)</x:f>
        <x:v>6444.85</x:v>
      </x:c>
      <x:c r="G38" s="1576">
        <x:v>0</x:v>
      </x:c>
      <x:c r="H38" s="832">
        <x:v>0</x:v>
      </x:c>
      <x:c r="I38" s="833" t="n">
        <x:f>G38+H38</x:f>
        <x:v>0</x:v>
      </x:c>
      <x:c r="J38" s="819">
        <x:v>0</x:v>
      </x:c>
      <x:c r="K38" s="819" t="n">
        <x:f>ROUND(H38*E38,2)</x:f>
        <x:v>0</x:v>
      </x:c>
      <x:c r="L38" s="819" t="n">
        <x:f>J38+K38</x:f>
        <x:v>0</x:v>
      </x:c>
      <x:c r="M38" s="840" t="n">
        <x:f>IF(D38=0,0,I38/D38)</x:f>
        <x:v>0</x:v>
      </x:c>
      <x:c r="N38" s="833" t="n">
        <x:f>D38-I38</x:f>
        <x:v>82.86</x:v>
      </x:c>
      <x:c r="O38" s="850" t="n">
        <x:f>F38-L38</x:f>
        <x:v>6444.85</x:v>
      </x:c>
    </x:row>
    <x:row r="39" ht="23" customHeight="1">
      <x:c r="A39" s="774" t="s">
        <x:v>112</x:v>
      </x:c>
      <x:c r="B39" s="515" t="s">
        <x:v>113</x:v>
      </x:c>
      <x:c r="C39" s="515"/>
      <x:c r="D39" s="1855"/>
      <x:c r="E39" s="1856"/>
      <x:c r="F39" s="1856"/>
      <x:c r="G39" s="1855"/>
      <x:c r="H39" s="1855"/>
      <x:c r="I39" s="1855"/>
      <x:c r="J39" s="1856"/>
      <x:c r="K39" s="1856"/>
      <x:c r="L39" s="1856"/>
      <x:c r="M39" s="1857"/>
      <x:c r="N39" s="1855"/>
      <x:c r="O39" s="1858"/>
    </x:row>
    <x:row r="40" ht="23" customHeight="1">
      <x:c r="A40" s="792" t="s">
        <x:v>114</x:v>
      </x:c>
      <x:c r="B40" s="539" t="s">
        <x:v>115</x:v>
      </x:c>
      <x:c r="C40" s="539"/>
      <x:c r="D40" s="1859"/>
      <x:c r="E40" s="1860"/>
      <x:c r="F40" s="1860"/>
      <x:c r="G40" s="1859"/>
      <x:c r="H40" s="1859"/>
      <x:c r="I40" s="1859"/>
      <x:c r="J40" s="1860"/>
      <x:c r="K40" s="1860"/>
      <x:c r="L40" s="1860"/>
      <x:c r="M40" s="1861"/>
      <x:c r="N40" s="1859"/>
      <x:c r="O40" s="1862"/>
    </x:row>
    <x:row r="41" ht="31" customHeight="1">
      <x:c r="A41" s="1865" t="s">
        <x:v>116</x:v>
      </x:c>
      <x:c r="B41" s="1821" t="s">
        <x:v>117</x:v>
      </x:c>
      <x:c r="C41" s="1501" t="s">
        <x:v>65</x:v>
      </x:c>
      <x:c r="D41" s="1575">
        <x:v>18.21</x:v>
      </x:c>
      <x:c r="E41" s="1578">
        <x:v>125.72</x:v>
      </x:c>
      <x:c r="F41" s="819" t="n">
        <x:f>ROUND(D41*E41,2)</x:f>
        <x:v>2289.36</x:v>
      </x:c>
      <x:c r="G41" s="1575">
        <x:v>0</x:v>
      </x:c>
      <x:c r="H41" s="832">
        <x:v>0</x:v>
      </x:c>
      <x:c r="I41" s="833" t="n">
        <x:f>G41+H41</x:f>
        <x:v>0</x:v>
      </x:c>
      <x:c r="J41" s="819">
        <x:v>0</x:v>
      </x:c>
      <x:c r="K41" s="819" t="n">
        <x:f>ROUND(H41*E41,2)</x:f>
        <x:v>0</x:v>
      </x:c>
      <x:c r="L41" s="819" t="n">
        <x:f>J41+K41</x:f>
        <x:v>0</x:v>
      </x:c>
      <x:c r="M41" s="840" t="n">
        <x:f>IF(D41=0,0,I41/D41)</x:f>
        <x:v>0</x:v>
      </x:c>
      <x:c r="N41" s="833" t="n">
        <x:f>D41-I41</x:f>
        <x:v>18.21</x:v>
      </x:c>
      <x:c r="O41" s="850" t="n">
        <x:f>F41-L41</x:f>
        <x:v>2289.36</x:v>
      </x:c>
    </x:row>
    <x:row r="42" ht="23" customHeight="1">
      <x:c r="A42" s="792" t="s">
        <x:v>118</x:v>
      </x:c>
      <x:c r="B42" s="539" t="s">
        <x:v>119</x:v>
      </x:c>
      <x:c r="C42" s="539"/>
      <x:c r="D42" s="1859"/>
      <x:c r="E42" s="1860"/>
      <x:c r="F42" s="1860"/>
      <x:c r="G42" s="1859"/>
      <x:c r="H42" s="1859"/>
      <x:c r="I42" s="1859"/>
      <x:c r="J42" s="1860"/>
      <x:c r="K42" s="1860"/>
      <x:c r="L42" s="1860"/>
      <x:c r="M42" s="1861"/>
      <x:c r="N42" s="1859"/>
      <x:c r="O42" s="1862"/>
    </x:row>
    <x:row r="43" ht="31" customHeight="1">
      <x:c r="A43" s="1866" t="s">
        <x:v>120</x:v>
      </x:c>
      <x:c r="B43" s="1823" t="s">
        <x:v>117</x:v>
      </x:c>
      <x:c r="C43" s="249" t="s">
        <x:v>65</x:v>
      </x:c>
      <x:c r="D43" s="1576">
        <x:v>25</x:v>
      </x:c>
      <x:c r="E43" s="1579">
        <x:v>125.72</x:v>
      </x:c>
      <x:c r="F43" s="819" t="n">
        <x:f>ROUND(D43*E43,2)</x:f>
        <x:v>3143</x:v>
      </x:c>
      <x:c r="G43" s="1576">
        <x:v>0</x:v>
      </x:c>
      <x:c r="H43" s="832">
        <x:v>0</x:v>
      </x:c>
      <x:c r="I43" s="833" t="n">
        <x:f>G43+H43</x:f>
        <x:v>0</x:v>
      </x:c>
      <x:c r="J43" s="819">
        <x:v>0</x:v>
      </x:c>
      <x:c r="K43" s="819" t="n">
        <x:f>ROUND(H43*E43,2)</x:f>
        <x:v>0</x:v>
      </x:c>
      <x:c r="L43" s="819" t="n">
        <x:f>J43+K43</x:f>
        <x:v>0</x:v>
      </x:c>
      <x:c r="M43" s="840" t="n">
        <x:f>IF(D43=0,0,I43/D43)</x:f>
        <x:v>0</x:v>
      </x:c>
      <x:c r="N43" s="833" t="n">
        <x:f>D43-I43</x:f>
        <x:v>25</x:v>
      </x:c>
      <x:c r="O43" s="850" t="n">
        <x:f>F43-L43</x:f>
        <x:v>3143</x:v>
      </x:c>
    </x:row>
    <x:row r="44" ht="23" customHeight="1">
      <x:c r="A44" s="792" t="s">
        <x:v>121</x:v>
      </x:c>
      <x:c r="B44" s="539" t="s">
        <x:v>122</x:v>
      </x:c>
      <x:c r="C44" s="539"/>
      <x:c r="D44" s="1859"/>
      <x:c r="E44" s="1860"/>
      <x:c r="F44" s="1860"/>
      <x:c r="G44" s="1859"/>
      <x:c r="H44" s="1859"/>
      <x:c r="I44" s="1859"/>
      <x:c r="J44" s="1860"/>
      <x:c r="K44" s="1860"/>
      <x:c r="L44" s="1860"/>
      <x:c r="M44" s="1861"/>
      <x:c r="N44" s="1859"/>
      <x:c r="O44" s="1862"/>
    </x:row>
    <x:row r="45" ht="43" customHeight="1">
      <x:c r="A45" s="1865" t="s">
        <x:v>123</x:v>
      </x:c>
      <x:c r="B45" s="1821" t="s">
        <x:v>124</x:v>
      </x:c>
      <x:c r="C45" s="1501" t="s">
        <x:v>65</x:v>
      </x:c>
      <x:c r="D45" s="1575">
        <x:v>25.6</x:v>
      </x:c>
      <x:c r="E45" s="1578">
        <x:v>68.66</x:v>
      </x:c>
      <x:c r="F45" s="819" t="n">
        <x:f>ROUND(D45*E45,2)</x:f>
        <x:v>1757.7</x:v>
      </x:c>
      <x:c r="G45" s="1575">
        <x:v>0</x:v>
      </x:c>
      <x:c r="H45" s="832">
        <x:v>0</x:v>
      </x:c>
      <x:c r="I45" s="833" t="n">
        <x:f>G45+H45</x:f>
        <x:v>0</x:v>
      </x:c>
      <x:c r="J45" s="819">
        <x:v>0</x:v>
      </x:c>
      <x:c r="K45" s="819" t="n">
        <x:f>ROUND(H45*E45,2)</x:f>
        <x:v>0</x:v>
      </x:c>
      <x:c r="L45" s="819" t="n">
        <x:f>J45+K45</x:f>
        <x:v>0</x:v>
      </x:c>
      <x:c r="M45" s="840" t="n">
        <x:f>IF(D45=0,0,I45/D45)</x:f>
        <x:v>0</x:v>
      </x:c>
      <x:c r="N45" s="833" t="n">
        <x:f>D45-I45</x:f>
        <x:v>25.6</x:v>
      </x:c>
      <x:c r="O45" s="850" t="n">
        <x:f>F45-L45</x:f>
        <x:v>1757.7</x:v>
      </x:c>
    </x:row>
    <x:row r="46" ht="43" customHeight="1">
      <x:c r="A46" s="1866" t="s">
        <x:v>125</x:v>
      </x:c>
      <x:c r="B46" s="1823" t="s">
        <x:v>126</x:v>
      </x:c>
      <x:c r="C46" s="249" t="s">
        <x:v>65</x:v>
      </x:c>
      <x:c r="D46" s="1576">
        <x:v>25.6</x:v>
      </x:c>
      <x:c r="E46" s="1579">
        <x:v>62.26</x:v>
      </x:c>
      <x:c r="F46" s="819" t="n">
        <x:f>ROUND(D46*E46,2)</x:f>
        <x:v>1593.86</x:v>
      </x:c>
      <x:c r="G46" s="1576">
        <x:v>0</x:v>
      </x:c>
      <x:c r="H46" s="832">
        <x:v>0</x:v>
      </x:c>
      <x:c r="I46" s="833" t="n">
        <x:f>G46+H46</x:f>
        <x:v>0</x:v>
      </x:c>
      <x:c r="J46" s="819">
        <x:v>0</x:v>
      </x:c>
      <x:c r="K46" s="819" t="n">
        <x:f>ROUND(H46*E46,2)</x:f>
        <x:v>0</x:v>
      </x:c>
      <x:c r="L46" s="819" t="n">
        <x:f>J46+K46</x:f>
        <x:v>0</x:v>
      </x:c>
      <x:c r="M46" s="840" t="n">
        <x:f>IF(D46=0,0,I46/D46)</x:f>
        <x:v>0</x:v>
      </x:c>
      <x:c r="N46" s="833" t="n">
        <x:f>D46-I46</x:f>
        <x:v>25.6</x:v>
      </x:c>
      <x:c r="O46" s="850" t="n">
        <x:f>F46-L46</x:f>
        <x:v>1593.86</x:v>
      </x:c>
    </x:row>
    <x:row r="47" ht="23" customHeight="1">
      <x:c r="A47" s="774" t="s">
        <x:v>127</x:v>
      </x:c>
      <x:c r="B47" s="515" t="s">
        <x:v>128</x:v>
      </x:c>
      <x:c r="C47" s="515"/>
      <x:c r="D47" s="1855"/>
      <x:c r="E47" s="1856"/>
      <x:c r="F47" s="1856"/>
      <x:c r="G47" s="1855"/>
      <x:c r="H47" s="1855"/>
      <x:c r="I47" s="1855"/>
      <x:c r="J47" s="1856"/>
      <x:c r="K47" s="1856"/>
      <x:c r="L47" s="1856"/>
      <x:c r="M47" s="1857"/>
      <x:c r="N47" s="1855"/>
      <x:c r="O47" s="1858"/>
    </x:row>
    <x:row r="48" ht="23" customHeight="1">
      <x:c r="A48" s="792" t="s">
        <x:v>129</x:v>
      </x:c>
      <x:c r="B48" s="539" t="s">
        <x:v>130</x:v>
      </x:c>
      <x:c r="C48" s="539"/>
      <x:c r="D48" s="1859"/>
      <x:c r="E48" s="1860"/>
      <x:c r="F48" s="1860"/>
      <x:c r="G48" s="1859"/>
      <x:c r="H48" s="1859"/>
      <x:c r="I48" s="1859"/>
      <x:c r="J48" s="1860"/>
      <x:c r="K48" s="1860"/>
      <x:c r="L48" s="1860"/>
      <x:c r="M48" s="1861"/>
      <x:c r="N48" s="1859"/>
      <x:c r="O48" s="1862"/>
    </x:row>
    <x:row r="49" ht="23" customHeight="1">
      <x:c r="A49" s="792" t="s">
        <x:v>131</x:v>
      </x:c>
      <x:c r="B49" s="539" t="s">
        <x:v>132</x:v>
      </x:c>
      <x:c r="C49" s="539"/>
      <x:c r="D49" s="1859"/>
      <x:c r="E49" s="1860"/>
      <x:c r="F49" s="1860"/>
      <x:c r="G49" s="1859"/>
      <x:c r="H49" s="1859"/>
      <x:c r="I49" s="1859"/>
      <x:c r="J49" s="1860"/>
      <x:c r="K49" s="1860"/>
      <x:c r="L49" s="1860"/>
      <x:c r="M49" s="1861"/>
      <x:c r="N49" s="1859"/>
      <x:c r="O49" s="1862"/>
    </x:row>
    <x:row r="50" ht="24" customHeight="1">
      <x:c r="A50" s="1865" t="s">
        <x:v>133</x:v>
      </x:c>
      <x:c r="B50" s="1821" t="s">
        <x:v>134</x:v>
      </x:c>
      <x:c r="C50" s="1501" t="s">
        <x:v>65</x:v>
      </x:c>
      <x:c r="D50" s="1575">
        <x:v>50.17</x:v>
      </x:c>
      <x:c r="E50" s="1578">
        <x:v>3.69</x:v>
      </x:c>
      <x:c r="F50" s="819" t="n">
        <x:f>ROUND(D50*E50,2)</x:f>
        <x:v>185.13</x:v>
      </x:c>
      <x:c r="G50" s="1575">
        <x:v>0</x:v>
      </x:c>
      <x:c r="H50" s="832">
        <x:v>0</x:v>
      </x:c>
      <x:c r="I50" s="833" t="n">
        <x:f>G50+H50</x:f>
        <x:v>0</x:v>
      </x:c>
      <x:c r="J50" s="819">
        <x:v>0</x:v>
      </x:c>
      <x:c r="K50" s="819" t="n">
        <x:f>ROUND(H50*E50,2)</x:f>
        <x:v>0</x:v>
      </x:c>
      <x:c r="L50" s="819" t="n">
        <x:f>J50+K50</x:f>
        <x:v>0</x:v>
      </x:c>
      <x:c r="M50" s="840" t="n">
        <x:f>IF(D50=0,0,I50/D50)</x:f>
        <x:v>0</x:v>
      </x:c>
      <x:c r="N50" s="833" t="n">
        <x:f>D50-I50</x:f>
        <x:v>50.17</x:v>
      </x:c>
      <x:c r="O50" s="850" t="n">
        <x:f>F50-L50</x:f>
        <x:v>185.13</x:v>
      </x:c>
    </x:row>
    <x:row r="51" ht="31" customHeight="1">
      <x:c r="A51" s="1866" t="s">
        <x:v>135</x:v>
      </x:c>
      <x:c r="B51" s="1823" t="s">
        <x:v>136</x:v>
      </x:c>
      <x:c r="C51" s="249" t="s">
        <x:v>65</x:v>
      </x:c>
      <x:c r="D51" s="1576">
        <x:v>50.17</x:v>
      </x:c>
      <x:c r="E51" s="1579">
        <x:v>89.92</x:v>
      </x:c>
      <x:c r="F51" s="819" t="n">
        <x:f>ROUND(D51*E51,2)</x:f>
        <x:v>4511.29</x:v>
      </x:c>
      <x:c r="G51" s="1576">
        <x:v>0</x:v>
      </x:c>
      <x:c r="H51" s="832">
        <x:v>0</x:v>
      </x:c>
      <x:c r="I51" s="833" t="n">
        <x:f>G51+H51</x:f>
        <x:v>0</x:v>
      </x:c>
      <x:c r="J51" s="819">
        <x:v>0</x:v>
      </x:c>
      <x:c r="K51" s="819" t="n">
        <x:f>ROUND(H51*E51,2)</x:f>
        <x:v>0</x:v>
      </x:c>
      <x:c r="L51" s="819" t="n">
        <x:f>J51+K51</x:f>
        <x:v>0</x:v>
      </x:c>
      <x:c r="M51" s="840" t="n">
        <x:f>IF(D51=0,0,I51/D51)</x:f>
        <x:v>0</x:v>
      </x:c>
      <x:c r="N51" s="833" t="n">
        <x:f>D51-I51</x:f>
        <x:v>50.17</x:v>
      </x:c>
      <x:c r="O51" s="850" t="n">
        <x:f>F51-L51</x:f>
        <x:v>4511.29</x:v>
      </x:c>
    </x:row>
    <x:row r="52" ht="23" customHeight="1">
      <x:c r="A52" s="792" t="s">
        <x:v>137</x:v>
      </x:c>
      <x:c r="B52" s="539" t="s">
        <x:v>138</x:v>
      </x:c>
      <x:c r="C52" s="539"/>
      <x:c r="D52" s="1859"/>
      <x:c r="E52" s="1860"/>
      <x:c r="F52" s="1860"/>
      <x:c r="G52" s="1859"/>
      <x:c r="H52" s="1859"/>
      <x:c r="I52" s="1859"/>
      <x:c r="J52" s="1860"/>
      <x:c r="K52" s="1860"/>
      <x:c r="L52" s="1860"/>
      <x:c r="M52" s="1861"/>
      <x:c r="N52" s="1859"/>
      <x:c r="O52" s="1862"/>
    </x:row>
    <x:row r="53" ht="31" customHeight="1">
      <x:c r="A53" s="1865" t="s">
        <x:v>139</x:v>
      </x:c>
      <x:c r="B53" s="1821" t="s">
        <x:v>140</x:v>
      </x:c>
      <x:c r="C53" s="1501" t="s">
        <x:v>65</x:v>
      </x:c>
      <x:c r="D53" s="1575">
        <x:v>49.25</x:v>
      </x:c>
      <x:c r="E53" s="1578">
        <x:v>3.69</x:v>
      </x:c>
      <x:c r="F53" s="819" t="n">
        <x:f>ROUND(D53*E53,2)</x:f>
        <x:v>181.73</x:v>
      </x:c>
      <x:c r="G53" s="1575">
        <x:v>0</x:v>
      </x:c>
      <x:c r="H53" s="832">
        <x:v>0</x:v>
      </x:c>
      <x:c r="I53" s="833" t="n">
        <x:f>G53+H53</x:f>
        <x:v>0</x:v>
      </x:c>
      <x:c r="J53" s="819">
        <x:v>0</x:v>
      </x:c>
      <x:c r="K53" s="819" t="n">
        <x:f>ROUND(H53*E53,2)</x:f>
        <x:v>0</x:v>
      </x:c>
      <x:c r="L53" s="819" t="n">
        <x:f>J53+K53</x:f>
        <x:v>0</x:v>
      </x:c>
      <x:c r="M53" s="840" t="n">
        <x:f>IF(D53=0,0,I53/D53)</x:f>
        <x:v>0</x:v>
      </x:c>
      <x:c r="N53" s="833" t="n">
        <x:f>D53-I53</x:f>
        <x:v>49.25</x:v>
      </x:c>
      <x:c r="O53" s="850" t="n">
        <x:f>F53-L53</x:f>
        <x:v>181.73</x:v>
      </x:c>
    </x:row>
    <x:row r="54" ht="31" customHeight="1">
      <x:c r="A54" s="1866" t="s">
        <x:v>141</x:v>
      </x:c>
      <x:c r="B54" s="1823" t="s">
        <x:v>136</x:v>
      </x:c>
      <x:c r="C54" s="249" t="s">
        <x:v>65</x:v>
      </x:c>
      <x:c r="D54" s="1576">
        <x:v>49.25</x:v>
      </x:c>
      <x:c r="E54" s="1579">
        <x:v>89.92</x:v>
      </x:c>
      <x:c r="F54" s="819" t="n">
        <x:f>ROUND(D54*E54,2)</x:f>
        <x:v>4428.56</x:v>
      </x:c>
      <x:c r="G54" s="1576">
        <x:v>0</x:v>
      </x:c>
      <x:c r="H54" s="832">
        <x:v>0</x:v>
      </x:c>
      <x:c r="I54" s="833" t="n">
        <x:f>G54+H54</x:f>
        <x:v>0</x:v>
      </x:c>
      <x:c r="J54" s="819">
        <x:v>0</x:v>
      </x:c>
      <x:c r="K54" s="819" t="n">
        <x:f>ROUND(H54*E54,2)</x:f>
        <x:v>0</x:v>
      </x:c>
      <x:c r="L54" s="819" t="n">
        <x:f>J54+K54</x:f>
        <x:v>0</x:v>
      </x:c>
      <x:c r="M54" s="840" t="n">
        <x:f>IF(D54=0,0,I54/D54)</x:f>
        <x:v>0</x:v>
      </x:c>
      <x:c r="N54" s="833" t="n">
        <x:f>D54-I54</x:f>
        <x:v>49.25</x:v>
      </x:c>
      <x:c r="O54" s="850" t="n">
        <x:f>F54-L54</x:f>
        <x:v>4428.56</x:v>
      </x:c>
    </x:row>
    <x:row r="55" ht="23" customHeight="1">
      <x:c r="A55" s="792" t="s">
        <x:v>142</x:v>
      </x:c>
      <x:c r="B55" s="539" t="s">
        <x:v>143</x:v>
      </x:c>
      <x:c r="C55" s="539"/>
      <x:c r="D55" s="1859"/>
      <x:c r="E55" s="1860"/>
      <x:c r="F55" s="1860"/>
      <x:c r="G55" s="1859"/>
      <x:c r="H55" s="1859"/>
      <x:c r="I55" s="1859"/>
      <x:c r="J55" s="1860"/>
      <x:c r="K55" s="1860"/>
      <x:c r="L55" s="1860"/>
      <x:c r="M55" s="1861"/>
      <x:c r="N55" s="1859"/>
      <x:c r="O55" s="1862"/>
    </x:row>
    <x:row r="56" ht="24" customHeight="1">
      <x:c r="A56" s="1865" t="s">
        <x:v>144</x:v>
      </x:c>
      <x:c r="B56" s="1821" t="s">
        <x:v>134</x:v>
      </x:c>
      <x:c r="C56" s="1501" t="s">
        <x:v>65</x:v>
      </x:c>
      <x:c r="D56" s="1575">
        <x:v>21.38</x:v>
      </x:c>
      <x:c r="E56" s="1578">
        <x:v>3.69</x:v>
      </x:c>
      <x:c r="F56" s="819" t="n">
        <x:f>ROUND(D56*E56,2)</x:f>
        <x:v>78.89</x:v>
      </x:c>
      <x:c r="G56" s="1575">
        <x:v>0</x:v>
      </x:c>
      <x:c r="H56" s="832">
        <x:v>0</x:v>
      </x:c>
      <x:c r="I56" s="833" t="n">
        <x:f>G56+H56</x:f>
        <x:v>0</x:v>
      </x:c>
      <x:c r="J56" s="819">
        <x:v>0</x:v>
      </x:c>
      <x:c r="K56" s="819" t="n">
        <x:f>ROUND(H56*E56,2)</x:f>
        <x:v>0</x:v>
      </x:c>
      <x:c r="L56" s="819" t="n">
        <x:f>J56+K56</x:f>
        <x:v>0</x:v>
      </x:c>
      <x:c r="M56" s="840" t="n">
        <x:f>IF(D56=0,0,I56/D56)</x:f>
        <x:v>0</x:v>
      </x:c>
      <x:c r="N56" s="833" t="n">
        <x:f>D56-I56</x:f>
        <x:v>21.38</x:v>
      </x:c>
      <x:c r="O56" s="850" t="n">
        <x:f>F56-L56</x:f>
        <x:v>78.89</x:v>
      </x:c>
    </x:row>
    <x:row r="57" ht="31" customHeight="1">
      <x:c r="A57" s="1866" t="s">
        <x:v>145</x:v>
      </x:c>
      <x:c r="B57" s="1823" t="s">
        <x:v>136</x:v>
      </x:c>
      <x:c r="C57" s="249" t="s">
        <x:v>65</x:v>
      </x:c>
      <x:c r="D57" s="1576">
        <x:v>21.38</x:v>
      </x:c>
      <x:c r="E57" s="1579">
        <x:v>89.92</x:v>
      </x:c>
      <x:c r="F57" s="819" t="n">
        <x:f>ROUND(D57*E57,2)</x:f>
        <x:v>1922.49</x:v>
      </x:c>
      <x:c r="G57" s="1576">
        <x:v>0</x:v>
      </x:c>
      <x:c r="H57" s="832">
        <x:v>0</x:v>
      </x:c>
      <x:c r="I57" s="833" t="n">
        <x:f>G57+H57</x:f>
        <x:v>0</x:v>
      </x:c>
      <x:c r="J57" s="819">
        <x:v>0</x:v>
      </x:c>
      <x:c r="K57" s="819" t="n">
        <x:f>ROUND(H57*E57,2)</x:f>
        <x:v>0</x:v>
      </x:c>
      <x:c r="L57" s="819" t="n">
        <x:f>J57+K57</x:f>
        <x:v>0</x:v>
      </x:c>
      <x:c r="M57" s="840" t="n">
        <x:f>IF(D57=0,0,I57/D57)</x:f>
        <x:v>0</x:v>
      </x:c>
      <x:c r="N57" s="833" t="n">
        <x:f>D57-I57</x:f>
        <x:v>21.38</x:v>
      </x:c>
      <x:c r="O57" s="850" t="n">
        <x:f>F57-L57</x:f>
        <x:v>1922.49</x:v>
      </x:c>
    </x:row>
    <x:row r="58" ht="23" customHeight="1">
      <x:c r="A58" s="774" t="s">
        <x:v>146</x:v>
      </x:c>
      <x:c r="B58" s="515" t="s">
        <x:v>147</x:v>
      </x:c>
      <x:c r="C58" s="515"/>
      <x:c r="D58" s="1855"/>
      <x:c r="E58" s="1856"/>
      <x:c r="F58" s="1856"/>
      <x:c r="G58" s="1855"/>
      <x:c r="H58" s="1855"/>
      <x:c r="I58" s="1855"/>
      <x:c r="J58" s="1856"/>
      <x:c r="K58" s="1856"/>
      <x:c r="L58" s="1856"/>
      <x:c r="M58" s="1857"/>
      <x:c r="N58" s="1855"/>
      <x:c r="O58" s="1858"/>
    </x:row>
    <x:row r="59" ht="55" customHeight="1">
      <x:c r="A59" s="1865" t="s">
        <x:v>148</x:v>
      </x:c>
      <x:c r="B59" s="1821" t="s">
        <x:v>149</x:v>
      </x:c>
      <x:c r="C59" s="1501" t="s">
        <x:v>65</x:v>
      </x:c>
      <x:c r="D59" s="1575">
        <x:v>89.07</x:v>
      </x:c>
      <x:c r="E59" s="1578">
        <x:v>206.19</x:v>
      </x:c>
      <x:c r="F59" s="819" t="n">
        <x:f>ROUND(D59*E59,2)</x:f>
        <x:v>18365.34</x:v>
      </x:c>
      <x:c r="G59" s="1575">
        <x:v>0</x:v>
      </x:c>
      <x:c r="H59" s="832">
        <x:v>0</x:v>
      </x:c>
      <x:c r="I59" s="833" t="n">
        <x:f>G59+H59</x:f>
        <x:v>0</x:v>
      </x:c>
      <x:c r="J59" s="819">
        <x:v>0</x:v>
      </x:c>
      <x:c r="K59" s="819" t="n">
        <x:f>ROUND(H59*E59,2)</x:f>
        <x:v>0</x:v>
      </x:c>
      <x:c r="L59" s="819" t="n">
        <x:f>J59+K59</x:f>
        <x:v>0</x:v>
      </x:c>
      <x:c r="M59" s="840" t="n">
        <x:f>IF(D59=0,0,I59/D59)</x:f>
        <x:v>0</x:v>
      </x:c>
      <x:c r="N59" s="833" t="n">
        <x:f>D59-I59</x:f>
        <x:v>89.07</x:v>
      </x:c>
      <x:c r="O59" s="850" t="n">
        <x:f>F59-L59</x:f>
        <x:v>18365.34</x:v>
      </x:c>
    </x:row>
    <x:row r="60" ht="24" customHeight="1">
      <x:c r="A60" s="1866" t="s">
        <x:v>150</x:v>
      </x:c>
      <x:c r="B60" s="1823" t="s">
        <x:v>151</x:v>
      </x:c>
      <x:c r="C60" s="249" t="s">
        <x:v>152</x:v>
      </x:c>
      <x:c r="D60" s="1576">
        <x:v>3.8</x:v>
      </x:c>
      <x:c r="E60" s="1579">
        <x:v>13.28</x:v>
      </x:c>
      <x:c r="F60" s="819" t="n">
        <x:f>ROUND(D60*E60,2)</x:f>
        <x:v>50.46</x:v>
      </x:c>
      <x:c r="G60" s="1576">
        <x:v>0</x:v>
      </x:c>
      <x:c r="H60" s="832">
        <x:v>0</x:v>
      </x:c>
      <x:c r="I60" s="833" t="n">
        <x:f>G60+H60</x:f>
        <x:v>0</x:v>
      </x:c>
      <x:c r="J60" s="819">
        <x:v>0</x:v>
      </x:c>
      <x:c r="K60" s="819" t="n">
        <x:f>ROUND(H60*E60,2)</x:f>
        <x:v>0</x:v>
      </x:c>
      <x:c r="L60" s="819" t="n">
        <x:f>J60+K60</x:f>
        <x:v>0</x:v>
      </x:c>
      <x:c r="M60" s="840" t="n">
        <x:f>IF(D60=0,0,I60/D60)</x:f>
        <x:v>0</x:v>
      </x:c>
      <x:c r="N60" s="833" t="n">
        <x:f>D60-I60</x:f>
        <x:v>3.8</x:v>
      </x:c>
      <x:c r="O60" s="850" t="n">
        <x:f>F60-L60</x:f>
        <x:v>50.46</x:v>
      </x:c>
    </x:row>
    <x:row r="61" ht="23" customHeight="1">
      <x:c r="A61" s="774" t="s">
        <x:v>153</x:v>
      </x:c>
      <x:c r="B61" s="515" t="s">
        <x:v>154</x:v>
      </x:c>
      <x:c r="C61" s="515"/>
      <x:c r="D61" s="1855"/>
      <x:c r="E61" s="1856"/>
      <x:c r="F61" s="1856"/>
      <x:c r="G61" s="1855"/>
      <x:c r="H61" s="1855"/>
      <x:c r="I61" s="1855"/>
      <x:c r="J61" s="1856"/>
      <x:c r="K61" s="1856"/>
      <x:c r="L61" s="1856"/>
      <x:c r="M61" s="1857"/>
      <x:c r="N61" s="1855"/>
      <x:c r="O61" s="1858"/>
    </x:row>
    <x:row r="62" ht="23" customHeight="1">
      <x:c r="A62" s="792" t="s">
        <x:v>155</x:v>
      </x:c>
      <x:c r="B62" s="539" t="s">
        <x:v>156</x:v>
      </x:c>
      <x:c r="C62" s="539"/>
      <x:c r="D62" s="1859"/>
      <x:c r="E62" s="1860"/>
      <x:c r="F62" s="1860"/>
      <x:c r="G62" s="1859"/>
      <x:c r="H62" s="1859"/>
      <x:c r="I62" s="1859"/>
      <x:c r="J62" s="1860"/>
      <x:c r="K62" s="1860"/>
      <x:c r="L62" s="1860"/>
      <x:c r="M62" s="1861"/>
      <x:c r="N62" s="1859"/>
      <x:c r="O62" s="1862"/>
    </x:row>
    <x:row r="63" ht="55" customHeight="1">
      <x:c r="A63" s="1865" t="s">
        <x:v>157</x:v>
      </x:c>
      <x:c r="B63" s="1821" t="s">
        <x:v>158</x:v>
      </x:c>
      <x:c r="C63" s="1501" t="s">
        <x:v>73</x:v>
      </x:c>
      <x:c r="D63" s="1575">
        <x:v>11</x:v>
      </x:c>
      <x:c r="E63" s="1578">
        <x:v>1255.83</x:v>
      </x:c>
      <x:c r="F63" s="819" t="n">
        <x:f>ROUND(D63*E63,2)</x:f>
        <x:v>13814.13</x:v>
      </x:c>
      <x:c r="G63" s="1575">
        <x:v>0</x:v>
      </x:c>
      <x:c r="H63" s="832">
        <x:v>0</x:v>
      </x:c>
      <x:c r="I63" s="833" t="n">
        <x:f>G63+H63</x:f>
        <x:v>0</x:v>
      </x:c>
      <x:c r="J63" s="819">
        <x:v>0</x:v>
      </x:c>
      <x:c r="K63" s="819" t="n">
        <x:f>ROUND(H63*E63,2)</x:f>
        <x:v>0</x:v>
      </x:c>
      <x:c r="L63" s="819" t="n">
        <x:f>J63+K63</x:f>
        <x:v>0</x:v>
      </x:c>
      <x:c r="M63" s="840" t="n">
        <x:f>IF(D63=0,0,I63/D63)</x:f>
        <x:v>0</x:v>
      </x:c>
      <x:c r="N63" s="833" t="n">
        <x:f>D63-I63</x:f>
        <x:v>11</x:v>
      </x:c>
      <x:c r="O63" s="850" t="n">
        <x:f>F63-L63</x:f>
        <x:v>13814.13</x:v>
      </x:c>
    </x:row>
    <x:row r="64" ht="31" customHeight="1">
      <x:c r="A64" s="1866" t="s">
        <x:v>159</x:v>
      </x:c>
      <x:c r="B64" s="1823" t="s">
        <x:v>160</x:v>
      </x:c>
      <x:c r="C64" s="249" t="s">
        <x:v>73</x:v>
      </x:c>
      <x:c r="D64" s="1576">
        <x:v>1</x:v>
      </x:c>
      <x:c r="E64" s="1579">
        <x:v>2317.87</x:v>
      </x:c>
      <x:c r="F64" s="819" t="n">
        <x:f>ROUND(D64*E64,2)</x:f>
        <x:v>2317.87</x:v>
      </x:c>
      <x:c r="G64" s="1576">
        <x:v>0</x:v>
      </x:c>
      <x:c r="H64" s="832">
        <x:v>0</x:v>
      </x:c>
      <x:c r="I64" s="833" t="n">
        <x:f>G64+H64</x:f>
        <x:v>0</x:v>
      </x:c>
      <x:c r="J64" s="819">
        <x:v>0</x:v>
      </x:c>
      <x:c r="K64" s="819" t="n">
        <x:f>ROUND(H64*E64,2)</x:f>
        <x:v>0</x:v>
      </x:c>
      <x:c r="L64" s="819" t="n">
        <x:f>J64+K64</x:f>
        <x:v>0</x:v>
      </x:c>
      <x:c r="M64" s="840" t="n">
        <x:f>IF(D64=0,0,I64/D64)</x:f>
        <x:v>0</x:v>
      </x:c>
      <x:c r="N64" s="833" t="n">
        <x:f>D64-I64</x:f>
        <x:v>1</x:v>
      </x:c>
      <x:c r="O64" s="850" t="n">
        <x:f>F64-L64</x:f>
        <x:v>2317.87</x:v>
      </x:c>
    </x:row>
    <x:row r="65" ht="31" customHeight="1">
      <x:c r="A65" s="1865" t="s">
        <x:v>161</x:v>
      </x:c>
      <x:c r="B65" s="1821" t="s">
        <x:v>162</x:v>
      </x:c>
      <x:c r="C65" s="1501" t="s">
        <x:v>65</x:v>
      </x:c>
      <x:c r="D65" s="1575">
        <x:v>40.32</x:v>
      </x:c>
      <x:c r="E65" s="1578">
        <x:v>19.67</x:v>
      </x:c>
      <x:c r="F65" s="819" t="n">
        <x:f>ROUND(D65*E65,2)</x:f>
        <x:v>793.09</x:v>
      </x:c>
      <x:c r="G65" s="1575">
        <x:v>0</x:v>
      </x:c>
      <x:c r="H65" s="832">
        <x:v>0</x:v>
      </x:c>
      <x:c r="I65" s="833" t="n">
        <x:f>G65+H65</x:f>
        <x:v>0</x:v>
      </x:c>
      <x:c r="J65" s="819">
        <x:v>0</x:v>
      </x:c>
      <x:c r="K65" s="819" t="n">
        <x:f>ROUND(H65*E65,2)</x:f>
        <x:v>0</x:v>
      </x:c>
      <x:c r="L65" s="819" t="n">
        <x:f>J65+K65</x:f>
        <x:v>0</x:v>
      </x:c>
      <x:c r="M65" s="840" t="n">
        <x:f>IF(D65=0,0,I65/D65)</x:f>
        <x:v>0</x:v>
      </x:c>
      <x:c r="N65" s="833" t="n">
        <x:f>D65-I65</x:f>
        <x:v>40.32</x:v>
      </x:c>
      <x:c r="O65" s="850" t="n">
        <x:f>F65-L65</x:f>
        <x:v>793.09</x:v>
      </x:c>
    </x:row>
    <x:row r="66" ht="31" customHeight="1">
      <x:c r="A66" s="1866" t="s">
        <x:v>163</x:v>
      </x:c>
      <x:c r="B66" s="1823" t="s">
        <x:v>164</x:v>
      </x:c>
      <x:c r="C66" s="249" t="s">
        <x:v>65</x:v>
      </x:c>
      <x:c r="D66" s="1576">
        <x:v>1.8</x:v>
      </x:c>
      <x:c r="E66" s="1579">
        <x:v>926.21</x:v>
      </x:c>
      <x:c r="F66" s="819" t="n">
        <x:f>ROUND(D66*E66,2)</x:f>
        <x:v>1667.18</x:v>
      </x:c>
      <x:c r="G66" s="1576">
        <x:v>0</x:v>
      </x:c>
      <x:c r="H66" s="832">
        <x:v>0</x:v>
      </x:c>
      <x:c r="I66" s="833" t="n">
        <x:f>G66+H66</x:f>
        <x:v>0</x:v>
      </x:c>
      <x:c r="J66" s="819">
        <x:v>0</x:v>
      </x:c>
      <x:c r="K66" s="819" t="n">
        <x:f>ROUND(H66*E66,2)</x:f>
        <x:v>0</x:v>
      </x:c>
      <x:c r="L66" s="819" t="n">
        <x:f>J66+K66</x:f>
        <x:v>0</x:v>
      </x:c>
      <x:c r="M66" s="840" t="n">
        <x:f>IF(D66=0,0,I66/D66)</x:f>
        <x:v>0</x:v>
      </x:c>
      <x:c r="N66" s="833" t="n">
        <x:f>D66-I66</x:f>
        <x:v>1.8</x:v>
      </x:c>
      <x:c r="O66" s="850" t="n">
        <x:f>F66-L66</x:f>
        <x:v>1667.18</x:v>
      </x:c>
    </x:row>
    <x:row r="67" ht="55" customHeight="1">
      <x:c r="A67" s="1865" t="s">
        <x:v>165</x:v>
      </x:c>
      <x:c r="B67" s="1821" t="s">
        <x:v>166</x:v>
      </x:c>
      <x:c r="C67" s="1501" t="s">
        <x:v>65</x:v>
      </x:c>
      <x:c r="D67" s="1575">
        <x:v>3.6</x:v>
      </x:c>
      <x:c r="E67" s="1578">
        <x:v>59.68</x:v>
      </x:c>
      <x:c r="F67" s="819" t="n">
        <x:f>ROUND(D67*E67,2)</x:f>
        <x:v>214.85</x:v>
      </x:c>
      <x:c r="G67" s="1575">
        <x:v>0</x:v>
      </x:c>
      <x:c r="H67" s="832">
        <x:v>0</x:v>
      </x:c>
      <x:c r="I67" s="833" t="n">
        <x:f>G67+H67</x:f>
        <x:v>0</x:v>
      </x:c>
      <x:c r="J67" s="819">
        <x:v>0</x:v>
      </x:c>
      <x:c r="K67" s="819" t="n">
        <x:f>ROUND(H67*E67,2)</x:f>
        <x:v>0</x:v>
      </x:c>
      <x:c r="L67" s="819" t="n">
        <x:f>J67+K67</x:f>
        <x:v>0</x:v>
      </x:c>
      <x:c r="M67" s="840" t="n">
        <x:f>IF(D67=0,0,I67/D67)</x:f>
        <x:v>0</x:v>
      </x:c>
      <x:c r="N67" s="833" t="n">
        <x:f>D67-I67</x:f>
        <x:v>3.6</x:v>
      </x:c>
      <x:c r="O67" s="850" t="n">
        <x:f>F67-L67</x:f>
        <x:v>214.85</x:v>
      </x:c>
    </x:row>
    <x:row r="68" ht="43" customHeight="1">
      <x:c r="A68" s="1866" t="s">
        <x:v>167</x:v>
      </x:c>
      <x:c r="B68" s="1823" t="s">
        <x:v>168</x:v>
      </x:c>
      <x:c r="C68" s="249" t="s">
        <x:v>73</x:v>
      </x:c>
      <x:c r="D68" s="1576">
        <x:v>1</x:v>
      </x:c>
      <x:c r="E68" s="1579">
        <x:v>4648.96</x:v>
      </x:c>
      <x:c r="F68" s="819" t="n">
        <x:f>ROUND(D68*E68,2)</x:f>
        <x:v>4648.96</x:v>
      </x:c>
      <x:c r="G68" s="1576">
        <x:v>0</x:v>
      </x:c>
      <x:c r="H68" s="832">
        <x:v>0</x:v>
      </x:c>
      <x:c r="I68" s="833" t="n">
        <x:f>G68+H68</x:f>
        <x:v>0</x:v>
      </x:c>
      <x:c r="J68" s="819">
        <x:v>0</x:v>
      </x:c>
      <x:c r="K68" s="819" t="n">
        <x:f>ROUND(H68*E68,2)</x:f>
        <x:v>0</x:v>
      </x:c>
      <x:c r="L68" s="819" t="n">
        <x:f>J68+K68</x:f>
        <x:v>0</x:v>
      </x:c>
      <x:c r="M68" s="840" t="n">
        <x:f>IF(D68=0,0,I68/D68)</x:f>
        <x:v>0</x:v>
      </x:c>
      <x:c r="N68" s="833" t="n">
        <x:f>D68-I68</x:f>
        <x:v>1</x:v>
      </x:c>
      <x:c r="O68" s="850" t="n">
        <x:f>F68-L68</x:f>
        <x:v>4648.96</x:v>
      </x:c>
    </x:row>
    <x:row r="69" ht="23" customHeight="1">
      <x:c r="A69" s="774" t="s">
        <x:v>169</x:v>
      </x:c>
      <x:c r="B69" s="515" t="s">
        <x:v>170</x:v>
      </x:c>
      <x:c r="C69" s="515"/>
      <x:c r="D69" s="1855"/>
      <x:c r="E69" s="1856"/>
      <x:c r="F69" s="1856"/>
      <x:c r="G69" s="1855"/>
      <x:c r="H69" s="1855"/>
      <x:c r="I69" s="1855"/>
      <x:c r="J69" s="1856"/>
      <x:c r="K69" s="1856"/>
      <x:c r="L69" s="1856"/>
      <x:c r="M69" s="1857"/>
      <x:c r="N69" s="1855"/>
      <x:c r="O69" s="1858"/>
    </x:row>
    <x:row r="70" ht="23" customHeight="1">
      <x:c r="A70" s="792" t="s">
        <x:v>171</x:v>
      </x:c>
      <x:c r="B70" s="539" t="s">
        <x:v>172</x:v>
      </x:c>
      <x:c r="C70" s="539"/>
      <x:c r="D70" s="1859"/>
      <x:c r="E70" s="1860"/>
      <x:c r="F70" s="1860"/>
      <x:c r="G70" s="1859"/>
      <x:c r="H70" s="1859"/>
      <x:c r="I70" s="1859"/>
      <x:c r="J70" s="1860"/>
      <x:c r="K70" s="1860"/>
      <x:c r="L70" s="1860"/>
      <x:c r="M70" s="1861"/>
      <x:c r="N70" s="1859"/>
      <x:c r="O70" s="1862"/>
    </x:row>
    <x:row r="71" ht="24" customHeight="1">
      <x:c r="A71" s="1865" t="s">
        <x:v>173</x:v>
      </x:c>
      <x:c r="B71" s="1821" t="s">
        <x:v>174</x:v>
      </x:c>
      <x:c r="C71" s="1501" t="s">
        <x:v>65</x:v>
      </x:c>
      <x:c r="D71" s="1575">
        <x:v>729.49</x:v>
      </x:c>
      <x:c r="E71" s="1578">
        <x:v>3.85</x:v>
      </x:c>
      <x:c r="F71" s="819" t="n">
        <x:f>ROUND(D71*E71,2)</x:f>
        <x:v>2808.54</x:v>
      </x:c>
      <x:c r="G71" s="1575">
        <x:v>0</x:v>
      </x:c>
      <x:c r="H71" s="832">
        <x:v>0</x:v>
      </x:c>
      <x:c r="I71" s="833" t="n">
        <x:f>G71+H71</x:f>
        <x:v>0</x:v>
      </x:c>
      <x:c r="J71" s="819">
        <x:v>0</x:v>
      </x:c>
      <x:c r="K71" s="819" t="n">
        <x:f>ROUND(H71*E71,2)</x:f>
        <x:v>0</x:v>
      </x:c>
      <x:c r="L71" s="819" t="n">
        <x:f>J71+K71</x:f>
        <x:v>0</x:v>
      </x:c>
      <x:c r="M71" s="840" t="n">
        <x:f>IF(D71=0,0,I71/D71)</x:f>
        <x:v>0</x:v>
      </x:c>
      <x:c r="N71" s="833" t="n">
        <x:f>D71-I71</x:f>
        <x:v>729.49</x:v>
      </x:c>
      <x:c r="O71" s="850" t="n">
        <x:f>F71-L71</x:f>
        <x:v>2808.54</x:v>
      </x:c>
    </x:row>
    <x:row r="72" ht="31" customHeight="1">
      <x:c r="A72" s="1866" t="s">
        <x:v>175</x:v>
      </x:c>
      <x:c r="B72" s="1823" t="s">
        <x:v>176</x:v>
      </x:c>
      <x:c r="C72" s="249" t="s">
        <x:v>65</x:v>
      </x:c>
      <x:c r="D72" s="1576">
        <x:v>729.49</x:v>
      </x:c>
      <x:c r="E72" s="1579">
        <x:v>4.45</x:v>
      </x:c>
      <x:c r="F72" s="819" t="n">
        <x:f>ROUND(D72*E72,2)</x:f>
        <x:v>3246.23</x:v>
      </x:c>
      <x:c r="G72" s="1576">
        <x:v>0</x:v>
      </x:c>
      <x:c r="H72" s="832">
        <x:v>0</x:v>
      </x:c>
      <x:c r="I72" s="833" t="n">
        <x:f>G72+H72</x:f>
        <x:v>0</x:v>
      </x:c>
      <x:c r="J72" s="819">
        <x:v>0</x:v>
      </x:c>
      <x:c r="K72" s="819" t="n">
        <x:f>ROUND(H72*E72,2)</x:f>
        <x:v>0</x:v>
      </x:c>
      <x:c r="L72" s="819" t="n">
        <x:f>J72+K72</x:f>
        <x:v>0</x:v>
      </x:c>
      <x:c r="M72" s="840" t="n">
        <x:f>IF(D72=0,0,I72/D72)</x:f>
        <x:v>0</x:v>
      </x:c>
      <x:c r="N72" s="833" t="n">
        <x:f>D72-I72</x:f>
        <x:v>729.49</x:v>
      </x:c>
      <x:c r="O72" s="850" t="n">
        <x:f>F72-L72</x:f>
        <x:v>3246.23</x:v>
      </x:c>
    </x:row>
    <x:row r="73" ht="24" customHeight="1">
      <x:c r="A73" s="1865" t="s">
        <x:v>177</x:v>
      </x:c>
      <x:c r="B73" s="1821" t="s">
        <x:v>178</x:v>
      </x:c>
      <x:c r="C73" s="1501" t="s">
        <x:v>65</x:v>
      </x:c>
      <x:c r="D73" s="1575">
        <x:v>729.49</x:v>
      </x:c>
      <x:c r="E73" s="1578">
        <x:v>19.49</x:v>
      </x:c>
      <x:c r="F73" s="819" t="n">
        <x:f>ROUND(D73*E73,2)</x:f>
        <x:v>14217.76</x:v>
      </x:c>
      <x:c r="G73" s="1575">
        <x:v>0</x:v>
      </x:c>
      <x:c r="H73" s="832">
        <x:v>0</x:v>
      </x:c>
      <x:c r="I73" s="833" t="n">
        <x:f>G73+H73</x:f>
        <x:v>0</x:v>
      </x:c>
      <x:c r="J73" s="819">
        <x:v>0</x:v>
      </x:c>
      <x:c r="K73" s="819" t="n">
        <x:f>ROUND(H73*E73,2)</x:f>
        <x:v>0</x:v>
      </x:c>
      <x:c r="L73" s="819" t="n">
        <x:f>J73+K73</x:f>
        <x:v>0</x:v>
      </x:c>
      <x:c r="M73" s="840" t="n">
        <x:f>IF(D73=0,0,I73/D73)</x:f>
        <x:v>0</x:v>
      </x:c>
      <x:c r="N73" s="833" t="n">
        <x:f>D73-I73</x:f>
        <x:v>729.49</x:v>
      </x:c>
      <x:c r="O73" s="850" t="n">
        <x:f>F73-L73</x:f>
        <x:v>14217.76</x:v>
      </x:c>
    </x:row>
    <x:row r="74" ht="23" customHeight="1">
      <x:c r="A74" s="792" t="s">
        <x:v>179</x:v>
      </x:c>
      <x:c r="B74" s="539" t="s">
        <x:v>180</x:v>
      </x:c>
      <x:c r="C74" s="539"/>
      <x:c r="D74" s="1859"/>
      <x:c r="E74" s="1860"/>
      <x:c r="F74" s="1860"/>
      <x:c r="G74" s="1859"/>
      <x:c r="H74" s="1859"/>
      <x:c r="I74" s="1859"/>
      <x:c r="J74" s="1860"/>
      <x:c r="K74" s="1860"/>
      <x:c r="L74" s="1860"/>
      <x:c r="M74" s="1861"/>
      <x:c r="N74" s="1859"/>
      <x:c r="O74" s="1862"/>
    </x:row>
    <x:row r="75" ht="31" customHeight="1">
      <x:c r="A75" s="1866" t="s">
        <x:v>181</x:v>
      </x:c>
      <x:c r="B75" s="1823" t="s">
        <x:v>182</x:v>
      </x:c>
      <x:c r="C75" s="249" t="s">
        <x:v>65</x:v>
      </x:c>
      <x:c r="D75" s="1576">
        <x:v>32.23</x:v>
      </x:c>
      <x:c r="E75" s="1579">
        <x:v>2.54</x:v>
      </x:c>
      <x:c r="F75" s="819" t="n">
        <x:f>ROUND(D75*E75,2)</x:f>
        <x:v>81.86</x:v>
      </x:c>
      <x:c r="G75" s="1576">
        <x:v>0</x:v>
      </x:c>
      <x:c r="H75" s="832">
        <x:v>0</x:v>
      </x:c>
      <x:c r="I75" s="833" t="n">
        <x:f>G75+H75</x:f>
        <x:v>0</x:v>
      </x:c>
      <x:c r="J75" s="819">
        <x:v>0</x:v>
      </x:c>
      <x:c r="K75" s="819" t="n">
        <x:f>ROUND(H75*E75,2)</x:f>
        <x:v>0</x:v>
      </x:c>
      <x:c r="L75" s="819" t="n">
        <x:f>J75+K75</x:f>
        <x:v>0</x:v>
      </x:c>
      <x:c r="M75" s="840" t="n">
        <x:f>IF(D75=0,0,I75/D75)</x:f>
        <x:v>0</x:v>
      </x:c>
      <x:c r="N75" s="833" t="n">
        <x:f>D75-I75</x:f>
        <x:v>32.23</x:v>
      </x:c>
      <x:c r="O75" s="850" t="n">
        <x:f>F75-L75</x:f>
        <x:v>81.86</x:v>
      </x:c>
    </x:row>
    <x:row r="76" ht="31" customHeight="1">
      <x:c r="A76" s="1865" t="s">
        <x:v>183</x:v>
      </x:c>
      <x:c r="B76" s="1821" t="s">
        <x:v>184</x:v>
      </x:c>
      <x:c r="C76" s="1501" t="s">
        <x:v>65</x:v>
      </x:c>
      <x:c r="D76" s="1575">
        <x:v>32.23</x:v>
      </x:c>
      <x:c r="E76" s="1578">
        <x:v>20.32</x:v>
      </x:c>
      <x:c r="F76" s="819" t="n">
        <x:f>ROUND(D76*E76,2)</x:f>
        <x:v>654.91</x:v>
      </x:c>
      <x:c r="G76" s="1575">
        <x:v>0</x:v>
      </x:c>
      <x:c r="H76" s="832">
        <x:v>0</x:v>
      </x:c>
      <x:c r="I76" s="833" t="n">
        <x:f>G76+H76</x:f>
        <x:v>0</x:v>
      </x:c>
      <x:c r="J76" s="819">
        <x:v>0</x:v>
      </x:c>
      <x:c r="K76" s="819" t="n">
        <x:f>ROUND(H76*E76,2)</x:f>
        <x:v>0</x:v>
      </x:c>
      <x:c r="L76" s="819" t="n">
        <x:f>J76+K76</x:f>
        <x:v>0</x:v>
      </x:c>
      <x:c r="M76" s="840" t="n">
        <x:f>IF(D76=0,0,I76/D76)</x:f>
        <x:v>0</x:v>
      </x:c>
      <x:c r="N76" s="833" t="n">
        <x:f>D76-I76</x:f>
        <x:v>32.23</x:v>
      </x:c>
      <x:c r="O76" s="850" t="n">
        <x:f>F76-L76</x:f>
        <x:v>654.91</x:v>
      </x:c>
    </x:row>
    <x:row r="77" ht="23" customHeight="1">
      <x:c r="A77" s="774" t="s">
        <x:v>185</x:v>
      </x:c>
      <x:c r="B77" s="515" t="s">
        <x:v>186</x:v>
      </x:c>
      <x:c r="C77" s="515"/>
      <x:c r="D77" s="1855"/>
      <x:c r="E77" s="1856"/>
      <x:c r="F77" s="1856"/>
      <x:c r="G77" s="1855"/>
      <x:c r="H77" s="1855"/>
      <x:c r="I77" s="1855"/>
      <x:c r="J77" s="1856"/>
      <x:c r="K77" s="1856"/>
      <x:c r="L77" s="1856"/>
      <x:c r="M77" s="1857"/>
      <x:c r="N77" s="1855"/>
      <x:c r="O77" s="1858"/>
    </x:row>
    <x:row r="78" ht="23" customHeight="1">
      <x:c r="A78" s="792" t="s">
        <x:v>187</x:v>
      </x:c>
      <x:c r="B78" s="539" t="s">
        <x:v>172</x:v>
      </x:c>
      <x:c r="C78" s="539"/>
      <x:c r="D78" s="1859"/>
      <x:c r="E78" s="1860"/>
      <x:c r="F78" s="1860"/>
      <x:c r="G78" s="1859"/>
      <x:c r="H78" s="1859"/>
      <x:c r="I78" s="1859"/>
      <x:c r="J78" s="1860"/>
      <x:c r="K78" s="1860"/>
      <x:c r="L78" s="1860"/>
      <x:c r="M78" s="1861"/>
      <x:c r="N78" s="1859"/>
      <x:c r="O78" s="1862"/>
    </x:row>
    <x:row r="79" ht="24" customHeight="1">
      <x:c r="A79" s="1866" t="s">
        <x:v>188</x:v>
      </x:c>
      <x:c r="B79" s="1823" t="s">
        <x:v>174</x:v>
      </x:c>
      <x:c r="C79" s="249" t="s">
        <x:v>65</x:v>
      </x:c>
      <x:c r="D79" s="1576">
        <x:v>347.84</x:v>
      </x:c>
      <x:c r="E79" s="1579">
        <x:v>3.85</x:v>
      </x:c>
      <x:c r="F79" s="819" t="n">
        <x:f>ROUND(D79*E79,2)</x:f>
        <x:v>1339.18</x:v>
      </x:c>
      <x:c r="G79" s="1576">
        <x:v>0</x:v>
      </x:c>
      <x:c r="H79" s="832">
        <x:v>0</x:v>
      </x:c>
      <x:c r="I79" s="833" t="n">
        <x:f>G79+H79</x:f>
        <x:v>0</x:v>
      </x:c>
      <x:c r="J79" s="819">
        <x:v>0</x:v>
      </x:c>
      <x:c r="K79" s="819" t="n">
        <x:f>ROUND(H79*E79,2)</x:f>
        <x:v>0</x:v>
      </x:c>
      <x:c r="L79" s="819" t="n">
        <x:f>J79+K79</x:f>
        <x:v>0</x:v>
      </x:c>
      <x:c r="M79" s="840" t="n">
        <x:f>IF(D79=0,0,I79/D79)</x:f>
        <x:v>0</x:v>
      </x:c>
      <x:c r="N79" s="833" t="n">
        <x:f>D79-I79</x:f>
        <x:v>347.84</x:v>
      </x:c>
      <x:c r="O79" s="850" t="n">
        <x:f>F79-L79</x:f>
        <x:v>1339.18</x:v>
      </x:c>
    </x:row>
    <x:row r="80" ht="31" customHeight="1">
      <x:c r="A80" s="1865" t="s">
        <x:v>189</x:v>
      </x:c>
      <x:c r="B80" s="1821" t="s">
        <x:v>176</x:v>
      </x:c>
      <x:c r="C80" s="1501" t="s">
        <x:v>65</x:v>
      </x:c>
      <x:c r="D80" s="1575">
        <x:v>347.84</x:v>
      </x:c>
      <x:c r="E80" s="1578">
        <x:v>4.45</x:v>
      </x:c>
      <x:c r="F80" s="819" t="n">
        <x:f>ROUND(D80*E80,2)</x:f>
        <x:v>1547.89</x:v>
      </x:c>
      <x:c r="G80" s="1575">
        <x:v>0</x:v>
      </x:c>
      <x:c r="H80" s="832">
        <x:v>0</x:v>
      </x:c>
      <x:c r="I80" s="833" t="n">
        <x:f>G80+H80</x:f>
        <x:v>0</x:v>
      </x:c>
      <x:c r="J80" s="819">
        <x:v>0</x:v>
      </x:c>
      <x:c r="K80" s="819" t="n">
        <x:f>ROUND(H80*E80,2)</x:f>
        <x:v>0</x:v>
      </x:c>
      <x:c r="L80" s="819" t="n">
        <x:f>J80+K80</x:f>
        <x:v>0</x:v>
      </x:c>
      <x:c r="M80" s="840" t="n">
        <x:f>IF(D80=0,0,I80/D80)</x:f>
        <x:v>0</x:v>
      </x:c>
      <x:c r="N80" s="833" t="n">
        <x:f>D80-I80</x:f>
        <x:v>347.84</x:v>
      </x:c>
      <x:c r="O80" s="850" t="n">
        <x:f>F80-L80</x:f>
        <x:v>1547.89</x:v>
      </x:c>
    </x:row>
    <x:row r="81" ht="24" customHeight="1">
      <x:c r="A81" s="1866" t="s">
        <x:v>190</x:v>
      </x:c>
      <x:c r="B81" s="1823" t="s">
        <x:v>178</x:v>
      </x:c>
      <x:c r="C81" s="249" t="s">
        <x:v>65</x:v>
      </x:c>
      <x:c r="D81" s="1576">
        <x:v>347.84</x:v>
      </x:c>
      <x:c r="E81" s="1579">
        <x:v>19.49</x:v>
      </x:c>
      <x:c r="F81" s="819" t="n">
        <x:f>ROUND(D81*E81,2)</x:f>
        <x:v>6779.4</x:v>
      </x:c>
      <x:c r="G81" s="1576">
        <x:v>0</x:v>
      </x:c>
      <x:c r="H81" s="832">
        <x:v>0</x:v>
      </x:c>
      <x:c r="I81" s="833" t="n">
        <x:f>G81+H81</x:f>
        <x:v>0</x:v>
      </x:c>
      <x:c r="J81" s="819">
        <x:v>0</x:v>
      </x:c>
      <x:c r="K81" s="819" t="n">
        <x:f>ROUND(H81*E81,2)</x:f>
        <x:v>0</x:v>
      </x:c>
      <x:c r="L81" s="819" t="n">
        <x:f>J81+K81</x:f>
        <x:v>0</x:v>
      </x:c>
      <x:c r="M81" s="840" t="n">
        <x:f>IF(D81=0,0,I81/D81)</x:f>
        <x:v>0</x:v>
      </x:c>
      <x:c r="N81" s="833" t="n">
        <x:f>D81-I81</x:f>
        <x:v>347.84</x:v>
      </x:c>
      <x:c r="O81" s="850" t="n">
        <x:f>F81-L81</x:f>
        <x:v>6779.4</x:v>
      </x:c>
    </x:row>
    <x:row r="82" ht="23" customHeight="1">
      <x:c r="A82" s="774" t="s">
        <x:v>191</x:v>
      </x:c>
      <x:c r="B82" s="515" t="s">
        <x:v>192</x:v>
      </x:c>
      <x:c r="C82" s="515"/>
      <x:c r="D82" s="1855"/>
      <x:c r="E82" s="1856"/>
      <x:c r="F82" s="1856"/>
      <x:c r="G82" s="1855"/>
      <x:c r="H82" s="1855"/>
      <x:c r="I82" s="1855"/>
      <x:c r="J82" s="1856"/>
      <x:c r="K82" s="1856"/>
      <x:c r="L82" s="1856"/>
      <x:c r="M82" s="1857"/>
      <x:c r="N82" s="1855"/>
      <x:c r="O82" s="1858"/>
    </x:row>
    <x:row r="83" ht="43" customHeight="1">
      <x:c r="A83" s="1865" t="s">
        <x:v>193</x:v>
      </x:c>
      <x:c r="B83" s="1821" t="s">
        <x:v>194</x:v>
      </x:c>
      <x:c r="C83" s="1501" t="s">
        <x:v>65</x:v>
      </x:c>
      <x:c r="D83" s="1575">
        <x:v>407.63</x:v>
      </x:c>
      <x:c r="E83" s="1578">
        <x:v>5.65</x:v>
      </x:c>
      <x:c r="F83" s="819" t="n">
        <x:f>ROUND(D83*E83,2)</x:f>
        <x:v>2303.11</x:v>
      </x:c>
      <x:c r="G83" s="1575">
        <x:v>0</x:v>
      </x:c>
      <x:c r="H83" s="832">
        <x:v>0</x:v>
      </x:c>
      <x:c r="I83" s="833" t="n">
        <x:f>G83+H83</x:f>
        <x:v>0</x:v>
      </x:c>
      <x:c r="J83" s="819">
        <x:v>0</x:v>
      </x:c>
      <x:c r="K83" s="819" t="n">
        <x:f>ROUND(H83*E83,2)</x:f>
        <x:v>0</x:v>
      </x:c>
      <x:c r="L83" s="819" t="n">
        <x:f>J83+K83</x:f>
        <x:v>0</x:v>
      </x:c>
      <x:c r="M83" s="840" t="n">
        <x:f>IF(D83=0,0,I83/D83)</x:f>
        <x:v>0</x:v>
      </x:c>
      <x:c r="N83" s="833" t="n">
        <x:f>D83-I83</x:f>
        <x:v>407.63</x:v>
      </x:c>
      <x:c r="O83" s="850" t="n">
        <x:f>F83-L83</x:f>
        <x:v>2303.11</x:v>
      </x:c>
    </x:row>
    <x:row r="84" ht="43" customHeight="1">
      <x:c r="A84" s="1866" t="s">
        <x:v>195</x:v>
      </x:c>
      <x:c r="B84" s="1823" t="s">
        <x:v>196</x:v>
      </x:c>
      <x:c r="C84" s="249" t="s">
        <x:v>65</x:v>
      </x:c>
      <x:c r="D84" s="1576">
        <x:v>407.63</x:v>
      </x:c>
      <x:c r="E84" s="1579">
        <x:v>45.91</x:v>
      </x:c>
      <x:c r="F84" s="819" t="n">
        <x:f>ROUND(D84*E84,2)</x:f>
        <x:v>18714.29</x:v>
      </x:c>
      <x:c r="G84" s="1576">
        <x:v>0</x:v>
      </x:c>
      <x:c r="H84" s="832">
        <x:v>0</x:v>
      </x:c>
      <x:c r="I84" s="833" t="n">
        <x:f>G84+H84</x:f>
        <x:v>0</x:v>
      </x:c>
      <x:c r="J84" s="819">
        <x:v>0</x:v>
      </x:c>
      <x:c r="K84" s="819" t="n">
        <x:f>ROUND(H84*E84,2)</x:f>
        <x:v>0</x:v>
      </x:c>
      <x:c r="L84" s="819" t="n">
        <x:f>J84+K84</x:f>
        <x:v>0</x:v>
      </x:c>
      <x:c r="M84" s="840" t="n">
        <x:f>IF(D84=0,0,I84/D84)</x:f>
        <x:v>0</x:v>
      </x:c>
      <x:c r="N84" s="833" t="n">
        <x:f>D84-I84</x:f>
        <x:v>407.63</x:v>
      </x:c>
      <x:c r="O84" s="850" t="n">
        <x:f>F84-L84</x:f>
        <x:v>18714.29</x:v>
      </x:c>
    </x:row>
    <x:row r="85" ht="31" customHeight="1">
      <x:c r="A85" s="1865" t="s">
        <x:v>197</x:v>
      </x:c>
      <x:c r="B85" s="1821" t="s">
        <x:v>198</x:v>
      </x:c>
      <x:c r="C85" s="1501" t="s">
        <x:v>73</x:v>
      </x:c>
      <x:c r="D85" s="1575">
        <x:v>16</x:v>
      </x:c>
      <x:c r="E85" s="1578">
        <x:v>99.3</x:v>
      </x:c>
      <x:c r="F85" s="819" t="n">
        <x:f>ROUND(D85*E85,2)</x:f>
        <x:v>1588.8</x:v>
      </x:c>
      <x:c r="G85" s="1575">
        <x:v>0</x:v>
      </x:c>
      <x:c r="H85" s="832">
        <x:v>0</x:v>
      </x:c>
      <x:c r="I85" s="833" t="n">
        <x:f>G85+H85</x:f>
        <x:v>0</x:v>
      </x:c>
      <x:c r="J85" s="819">
        <x:v>0</x:v>
      </x:c>
      <x:c r="K85" s="819" t="n">
        <x:f>ROUND(H85*E85,2)</x:f>
        <x:v>0</x:v>
      </x:c>
      <x:c r="L85" s="819" t="n">
        <x:f>J85+K85</x:f>
        <x:v>0</x:v>
      </x:c>
      <x:c r="M85" s="840" t="n">
        <x:f>IF(D85=0,0,I85/D85)</x:f>
        <x:v>0</x:v>
      </x:c>
      <x:c r="N85" s="833" t="n">
        <x:f>D85-I85</x:f>
        <x:v>16</x:v>
      </x:c>
      <x:c r="O85" s="850" t="n">
        <x:f>F85-L85</x:f>
        <x:v>1588.8</x:v>
      </x:c>
    </x:row>
    <x:row r="86" ht="43" customHeight="1">
      <x:c r="A86" s="1866" t="s">
        <x:v>199</x:v>
      </x:c>
      <x:c r="B86" s="1823" t="s">
        <x:v>200</x:v>
      </x:c>
      <x:c r="C86" s="249" t="s">
        <x:v>152</x:v>
      </x:c>
      <x:c r="D86" s="1576">
        <x:v>16</x:v>
      </x:c>
      <x:c r="E86" s="1579">
        <x:v>220.07</x:v>
      </x:c>
      <x:c r="F86" s="819" t="n">
        <x:f>ROUND(D86*E86,2)</x:f>
        <x:v>3521.12</x:v>
      </x:c>
      <x:c r="G86" s="1576">
        <x:v>0</x:v>
      </x:c>
      <x:c r="H86" s="832">
        <x:v>0</x:v>
      </x:c>
      <x:c r="I86" s="833" t="n">
        <x:f>G86+H86</x:f>
        <x:v>0</x:v>
      </x:c>
      <x:c r="J86" s="819">
        <x:v>0</x:v>
      </x:c>
      <x:c r="K86" s="819" t="n">
        <x:f>ROUND(H86*E86,2)</x:f>
        <x:v>0</x:v>
      </x:c>
      <x:c r="L86" s="819" t="n">
        <x:f>J86+K86</x:f>
        <x:v>0</x:v>
      </x:c>
      <x:c r="M86" s="840" t="n">
        <x:f>IF(D86=0,0,I86/D86)</x:f>
        <x:v>0</x:v>
      </x:c>
      <x:c r="N86" s="833" t="n">
        <x:f>D86-I86</x:f>
        <x:v>16</x:v>
      </x:c>
      <x:c r="O86" s="850" t="n">
        <x:f>F86-L86</x:f>
        <x:v>3521.12</x:v>
      </x:c>
    </x:row>
    <x:row r="87" ht="31" customHeight="1">
      <x:c r="A87" s="1865" t="s">
        <x:v>201</x:v>
      </x:c>
      <x:c r="B87" s="1821" t="s">
        <x:v>202</x:v>
      </x:c>
      <x:c r="C87" s="1501" t="s">
        <x:v>152</x:v>
      </x:c>
      <x:c r="D87" s="1575">
        <x:v>29.21</x:v>
      </x:c>
      <x:c r="E87" s="1578">
        <x:v>76.04</x:v>
      </x:c>
      <x:c r="F87" s="819" t="n">
        <x:f>ROUND(D87*E87,2)</x:f>
        <x:v>2221.13</x:v>
      </x:c>
      <x:c r="G87" s="1575">
        <x:v>0</x:v>
      </x:c>
      <x:c r="H87" s="832">
        <x:v>0</x:v>
      </x:c>
      <x:c r="I87" s="833" t="n">
        <x:f>G87+H87</x:f>
        <x:v>0</x:v>
      </x:c>
      <x:c r="J87" s="819">
        <x:v>0</x:v>
      </x:c>
      <x:c r="K87" s="819" t="n">
        <x:f>ROUND(H87*E87,2)</x:f>
        <x:v>0</x:v>
      </x:c>
      <x:c r="L87" s="819" t="n">
        <x:f>J87+K87</x:f>
        <x:v>0</x:v>
      </x:c>
      <x:c r="M87" s="840" t="n">
        <x:f>IF(D87=0,0,I87/D87)</x:f>
        <x:v>0</x:v>
      </x:c>
      <x:c r="N87" s="833" t="n">
        <x:f>D87-I87</x:f>
        <x:v>29.21</x:v>
      </x:c>
      <x:c r="O87" s="850" t="n">
        <x:f>F87-L87</x:f>
        <x:v>2221.13</x:v>
      </x:c>
    </x:row>
    <x:row r="88" ht="23" customHeight="1">
      <x:c r="A88" s="774" t="s">
        <x:v>203</x:v>
      </x:c>
      <x:c r="B88" s="515" t="s">
        <x:v>204</x:v>
      </x:c>
      <x:c r="C88" s="515"/>
      <x:c r="D88" s="1855"/>
      <x:c r="E88" s="1856"/>
      <x:c r="F88" s="1856"/>
      <x:c r="G88" s="1855"/>
      <x:c r="H88" s="1855"/>
      <x:c r="I88" s="1855"/>
      <x:c r="J88" s="1856"/>
      <x:c r="K88" s="1856"/>
      <x:c r="L88" s="1856"/>
      <x:c r="M88" s="1857"/>
      <x:c r="N88" s="1855"/>
      <x:c r="O88" s="1858"/>
    </x:row>
    <x:row r="89" ht="23" customHeight="1">
      <x:c r="A89" s="792" t="s">
        <x:v>205</x:v>
      </x:c>
      <x:c r="B89" s="539" t="s">
        <x:v>206</x:v>
      </x:c>
      <x:c r="C89" s="539"/>
      <x:c r="D89" s="1859"/>
      <x:c r="E89" s="1860"/>
      <x:c r="F89" s="1860"/>
      <x:c r="G89" s="1859"/>
      <x:c r="H89" s="1859"/>
      <x:c r="I89" s="1859"/>
      <x:c r="J89" s="1860"/>
      <x:c r="K89" s="1860"/>
      <x:c r="L89" s="1860"/>
      <x:c r="M89" s="1861"/>
      <x:c r="N89" s="1859"/>
      <x:c r="O89" s="1862"/>
    </x:row>
    <x:row r="90" ht="31" customHeight="1">
      <x:c r="A90" s="1866" t="s">
        <x:v>207</x:v>
      </x:c>
      <x:c r="B90" s="1823" t="s">
        <x:v>208</x:v>
      </x:c>
      <x:c r="C90" s="249" t="s">
        <x:v>73</x:v>
      </x:c>
      <x:c r="D90" s="1576">
        <x:v>11</x:v>
      </x:c>
      <x:c r="E90" s="1579">
        <x:v>14.53</x:v>
      </x:c>
      <x:c r="F90" s="819" t="n">
        <x:f>ROUND(D90*E90,2)</x:f>
        <x:v>159.83</x:v>
      </x:c>
      <x:c r="G90" s="1576">
        <x:v>0</x:v>
      </x:c>
      <x:c r="H90" s="832">
        <x:v>0</x:v>
      </x:c>
      <x:c r="I90" s="833" t="n">
        <x:f>G90+H90</x:f>
        <x:v>0</x:v>
      </x:c>
      <x:c r="J90" s="819">
        <x:v>0</x:v>
      </x:c>
      <x:c r="K90" s="819" t="n">
        <x:f>ROUND(H90*E90,2)</x:f>
        <x:v>0</x:v>
      </x:c>
      <x:c r="L90" s="819" t="n">
        <x:f>J90+K90</x:f>
        <x:v>0</x:v>
      </x:c>
      <x:c r="M90" s="840" t="n">
        <x:f>IF(D90=0,0,I90/D90)</x:f>
        <x:v>0</x:v>
      </x:c>
      <x:c r="N90" s="833" t="n">
        <x:f>D90-I90</x:f>
        <x:v>11</x:v>
      </x:c>
      <x:c r="O90" s="850" t="n">
        <x:f>F90-L90</x:f>
        <x:v>159.83</x:v>
      </x:c>
    </x:row>
    <x:row r="91" ht="43" customHeight="1">
      <x:c r="A91" s="1865" t="s">
        <x:v>209</x:v>
      </x:c>
      <x:c r="B91" s="1821" t="s">
        <x:v>210</x:v>
      </x:c>
      <x:c r="C91" s="1501" t="s">
        <x:v>73</x:v>
      </x:c>
      <x:c r="D91" s="1575">
        <x:v>3</x:v>
      </x:c>
      <x:c r="E91" s="1578">
        <x:v>311.89</x:v>
      </x:c>
      <x:c r="F91" s="819" t="n">
        <x:f>ROUND(D91*E91,2)</x:f>
        <x:v>935.67</x:v>
      </x:c>
      <x:c r="G91" s="1575">
        <x:v>0</x:v>
      </x:c>
      <x:c r="H91" s="832">
        <x:v>0</x:v>
      </x:c>
      <x:c r="I91" s="833" t="n">
        <x:f>G91+H91</x:f>
        <x:v>0</x:v>
      </x:c>
      <x:c r="J91" s="819">
        <x:v>0</x:v>
      </x:c>
      <x:c r="K91" s="819" t="n">
        <x:f>ROUND(H91*E91,2)</x:f>
        <x:v>0</x:v>
      </x:c>
      <x:c r="L91" s="819" t="n">
        <x:f>J91+K91</x:f>
        <x:v>0</x:v>
      </x:c>
      <x:c r="M91" s="840" t="n">
        <x:f>IF(D91=0,0,I91/D91)</x:f>
        <x:v>0</x:v>
      </x:c>
      <x:c r="N91" s="833" t="n">
        <x:f>D91-I91</x:f>
        <x:v>3</x:v>
      </x:c>
      <x:c r="O91" s="850" t="n">
        <x:f>F91-L91</x:f>
        <x:v>935.67</x:v>
      </x:c>
    </x:row>
    <x:row r="92" ht="43" customHeight="1">
      <x:c r="A92" s="1866" t="s">
        <x:v>211</x:v>
      </x:c>
      <x:c r="B92" s="1823" t="s">
        <x:v>212</x:v>
      </x:c>
      <x:c r="C92" s="249" t="s">
        <x:v>73</x:v>
      </x:c>
      <x:c r="D92" s="1576">
        <x:v>3</x:v>
      </x:c>
      <x:c r="E92" s="1579">
        <x:v>101.46</x:v>
      </x:c>
      <x:c r="F92" s="819" t="n">
        <x:f>ROUND(D92*E92,2)</x:f>
        <x:v>304.38</x:v>
      </x:c>
      <x:c r="G92" s="1576">
        <x:v>0</x:v>
      </x:c>
      <x:c r="H92" s="832">
        <x:v>0</x:v>
      </x:c>
      <x:c r="I92" s="833" t="n">
        <x:f>G92+H92</x:f>
        <x:v>0</x:v>
      </x:c>
      <x:c r="J92" s="819">
        <x:v>0</x:v>
      </x:c>
      <x:c r="K92" s="819" t="n">
        <x:f>ROUND(H92*E92,2)</x:f>
        <x:v>0</x:v>
      </x:c>
      <x:c r="L92" s="819" t="n">
        <x:f>J92+K92</x:f>
        <x:v>0</x:v>
      </x:c>
      <x:c r="M92" s="840" t="n">
        <x:f>IF(D92=0,0,I92/D92)</x:f>
        <x:v>0</x:v>
      </x:c>
      <x:c r="N92" s="833" t="n">
        <x:f>D92-I92</x:f>
        <x:v>3</x:v>
      </x:c>
      <x:c r="O92" s="850" t="n">
        <x:f>F92-L92</x:f>
        <x:v>304.38</x:v>
      </x:c>
    </x:row>
    <x:row r="93" ht="31" customHeight="1">
      <x:c r="A93" s="1865" t="s">
        <x:v>213</x:v>
      </x:c>
      <x:c r="B93" s="1821" t="s">
        <x:v>214</x:v>
      </x:c>
      <x:c r="C93" s="1501" t="s">
        <x:v>73</x:v>
      </x:c>
      <x:c r="D93" s="1575">
        <x:v>11</x:v>
      </x:c>
      <x:c r="E93" s="1578">
        <x:v>9.8</x:v>
      </x:c>
      <x:c r="F93" s="819" t="n">
        <x:f>ROUND(D93*E93,2)</x:f>
        <x:v>107.8</x:v>
      </x:c>
      <x:c r="G93" s="1575">
        <x:v>0</x:v>
      </x:c>
      <x:c r="H93" s="832">
        <x:v>0</x:v>
      </x:c>
      <x:c r="I93" s="833" t="n">
        <x:f>G93+H93</x:f>
        <x:v>0</x:v>
      </x:c>
      <x:c r="J93" s="819">
        <x:v>0</x:v>
      </x:c>
      <x:c r="K93" s="819" t="n">
        <x:f>ROUND(H93*E93,2)</x:f>
        <x:v>0</x:v>
      </x:c>
      <x:c r="L93" s="819" t="n">
        <x:f>J93+K93</x:f>
        <x:v>0</x:v>
      </x:c>
      <x:c r="M93" s="840" t="n">
        <x:f>IF(D93=0,0,I93/D93)</x:f>
        <x:v>0</x:v>
      </x:c>
      <x:c r="N93" s="833" t="n">
        <x:f>D93-I93</x:f>
        <x:v>11</x:v>
      </x:c>
      <x:c r="O93" s="850" t="n">
        <x:f>F93-L93</x:f>
        <x:v>107.8</x:v>
      </x:c>
    </x:row>
    <x:row r="94" ht="43" customHeight="1">
      <x:c r="A94" s="1866" t="s">
        <x:v>215</x:v>
      </x:c>
      <x:c r="B94" s="1823" t="s">
        <x:v>216</x:v>
      </x:c>
      <x:c r="C94" s="249" t="s">
        <x:v>152</x:v>
      </x:c>
      <x:c r="D94" s="1576">
        <x:v>76.5</x:v>
      </x:c>
      <x:c r="E94" s="1579">
        <x:v>27.12</x:v>
      </x:c>
      <x:c r="F94" s="819" t="n">
        <x:f>ROUND(D94*E94,2)</x:f>
        <x:v>2074.68</x:v>
      </x:c>
      <x:c r="G94" s="1576">
        <x:v>0</x:v>
      </x:c>
      <x:c r="H94" s="832">
        <x:v>0</x:v>
      </x:c>
      <x:c r="I94" s="833" t="n">
        <x:f>G94+H94</x:f>
        <x:v>0</x:v>
      </x:c>
      <x:c r="J94" s="819">
        <x:v>0</x:v>
      </x:c>
      <x:c r="K94" s="819" t="n">
        <x:f>ROUND(H94*E94,2)</x:f>
        <x:v>0</x:v>
      </x:c>
      <x:c r="L94" s="819" t="n">
        <x:f>J94+K94</x:f>
        <x:v>0</x:v>
      </x:c>
      <x:c r="M94" s="840" t="n">
        <x:f>IF(D94=0,0,I94/D94)</x:f>
        <x:v>0</x:v>
      </x:c>
      <x:c r="N94" s="833" t="n">
        <x:f>D94-I94</x:f>
        <x:v>76.5</x:v>
      </x:c>
      <x:c r="O94" s="850" t="n">
        <x:f>F94-L94</x:f>
        <x:v>2074.68</x:v>
      </x:c>
    </x:row>
    <x:row r="95" ht="43" customHeight="1">
      <x:c r="A95" s="1865" t="s">
        <x:v>217</x:v>
      </x:c>
      <x:c r="B95" s="1821" t="s">
        <x:v>218</x:v>
      </x:c>
      <x:c r="C95" s="1501" t="s">
        <x:v>152</x:v>
      </x:c>
      <x:c r="D95" s="1575">
        <x:v>28.5</x:v>
      </x:c>
      <x:c r="E95" s="1578">
        <x:v>16.44</x:v>
      </x:c>
      <x:c r="F95" s="819" t="n">
        <x:f>ROUND(D95*E95,2)</x:f>
        <x:v>468.54</x:v>
      </x:c>
      <x:c r="G95" s="1575">
        <x:v>0</x:v>
      </x:c>
      <x:c r="H95" s="832">
        <x:v>0</x:v>
      </x:c>
      <x:c r="I95" s="833" t="n">
        <x:f>G95+H95</x:f>
        <x:v>0</x:v>
      </x:c>
      <x:c r="J95" s="819">
        <x:v>0</x:v>
      </x:c>
      <x:c r="K95" s="819" t="n">
        <x:f>ROUND(H95*E95,2)</x:f>
        <x:v>0</x:v>
      </x:c>
      <x:c r="L95" s="819" t="n">
        <x:f>J95+K95</x:f>
        <x:v>0</x:v>
      </x:c>
      <x:c r="M95" s="840" t="n">
        <x:f>IF(D95=0,0,I95/D95)</x:f>
        <x:v>0</x:v>
      </x:c>
      <x:c r="N95" s="833" t="n">
        <x:f>D95-I95</x:f>
        <x:v>28.5</x:v>
      </x:c>
      <x:c r="O95" s="850" t="n">
        <x:f>F95-L95</x:f>
        <x:v>468.54</x:v>
      </x:c>
    </x:row>
    <x:row r="96" ht="31" customHeight="1">
      <x:c r="A96" s="1866" t="s">
        <x:v>219</x:v>
      </x:c>
      <x:c r="B96" s="1823" t="s">
        <x:v>220</x:v>
      </x:c>
      <x:c r="C96" s="249" t="s">
        <x:v>152</x:v>
      </x:c>
      <x:c r="D96" s="1576">
        <x:v>19</x:v>
      </x:c>
      <x:c r="E96" s="1579">
        <x:v>9.12</x:v>
      </x:c>
      <x:c r="F96" s="819" t="n">
        <x:f>ROUND(D96*E96,2)</x:f>
        <x:v>173.28</x:v>
      </x:c>
      <x:c r="G96" s="1576">
        <x:v>0</x:v>
      </x:c>
      <x:c r="H96" s="832">
        <x:v>0</x:v>
      </x:c>
      <x:c r="I96" s="833" t="n">
        <x:f>G96+H96</x:f>
        <x:v>0</x:v>
      </x:c>
      <x:c r="J96" s="819">
        <x:v>0</x:v>
      </x:c>
      <x:c r="K96" s="819" t="n">
        <x:f>ROUND(H96*E96,2)</x:f>
        <x:v>0</x:v>
      </x:c>
      <x:c r="L96" s="819" t="n">
        <x:f>J96+K96</x:f>
        <x:v>0</x:v>
      </x:c>
      <x:c r="M96" s="840" t="n">
        <x:f>IF(D96=0,0,I96/D96)</x:f>
        <x:v>0</x:v>
      </x:c>
      <x:c r="N96" s="833" t="n">
        <x:f>D96-I96</x:f>
        <x:v>19</x:v>
      </x:c>
      <x:c r="O96" s="850" t="n">
        <x:f>F96-L96</x:f>
        <x:v>173.28</x:v>
      </x:c>
    </x:row>
    <x:row r="97" ht="23" customHeight="1">
      <x:c r="A97" s="792" t="s">
        <x:v>221</x:v>
      </x:c>
      <x:c r="B97" s="539" t="s">
        <x:v>222</x:v>
      </x:c>
      <x:c r="C97" s="539"/>
      <x:c r="D97" s="1859"/>
      <x:c r="E97" s="1860"/>
      <x:c r="F97" s="1860"/>
      <x:c r="G97" s="1859"/>
      <x:c r="H97" s="1859"/>
      <x:c r="I97" s="1859"/>
      <x:c r="J97" s="1860"/>
      <x:c r="K97" s="1860"/>
      <x:c r="L97" s="1860"/>
      <x:c r="M97" s="1861"/>
      <x:c r="N97" s="1859"/>
      <x:c r="O97" s="1862"/>
    </x:row>
    <x:row r="98" ht="31" customHeight="1">
      <x:c r="A98" s="1865" t="s">
        <x:v>223</x:v>
      </x:c>
      <x:c r="B98" s="1821" t="s">
        <x:v>224</x:v>
      </x:c>
      <x:c r="C98" s="1501" t="s">
        <x:v>73</x:v>
      </x:c>
      <x:c r="D98" s="1575">
        <x:v>25</x:v>
      </x:c>
      <x:c r="E98" s="1578">
        <x:v>39.45</x:v>
      </x:c>
      <x:c r="F98" s="819" t="n">
        <x:f>ROUND(D98*E98,2)</x:f>
        <x:v>986.25</x:v>
      </x:c>
      <x:c r="G98" s="1575">
        <x:v>0</x:v>
      </x:c>
      <x:c r="H98" s="832">
        <x:v>0</x:v>
      </x:c>
      <x:c r="I98" s="833" t="n">
        <x:f>G98+H98</x:f>
        <x:v>0</x:v>
      </x:c>
      <x:c r="J98" s="819">
        <x:v>0</x:v>
      </x:c>
      <x:c r="K98" s="819" t="n">
        <x:f>ROUND(H98*E98,2)</x:f>
        <x:v>0</x:v>
      </x:c>
      <x:c r="L98" s="819" t="n">
        <x:f>J98+K98</x:f>
        <x:v>0</x:v>
      </x:c>
      <x:c r="M98" s="840" t="n">
        <x:f>IF(D98=0,0,I98/D98)</x:f>
        <x:v>0</x:v>
      </x:c>
      <x:c r="N98" s="833" t="n">
        <x:f>D98-I98</x:f>
        <x:v>25</x:v>
      </x:c>
      <x:c r="O98" s="850" t="n">
        <x:f>F98-L98</x:f>
        <x:v>986.25</x:v>
      </x:c>
    </x:row>
    <x:row r="99" ht="31" customHeight="1">
      <x:c r="A99" s="1866" t="s">
        <x:v>225</x:v>
      </x:c>
      <x:c r="B99" s="1823" t="s">
        <x:v>226</x:v>
      </x:c>
      <x:c r="C99" s="249" t="s">
        <x:v>73</x:v>
      </x:c>
      <x:c r="D99" s="1576">
        <x:v>36</x:v>
      </x:c>
      <x:c r="E99" s="1579">
        <x:v>22.73</x:v>
      </x:c>
      <x:c r="F99" s="819" t="n">
        <x:f>ROUND(D99*E99,2)</x:f>
        <x:v>818.28</x:v>
      </x:c>
      <x:c r="G99" s="1576">
        <x:v>0</x:v>
      </x:c>
      <x:c r="H99" s="832">
        <x:v>0</x:v>
      </x:c>
      <x:c r="I99" s="833" t="n">
        <x:f>G99+H99</x:f>
        <x:v>0</x:v>
      </x:c>
      <x:c r="J99" s="819">
        <x:v>0</x:v>
      </x:c>
      <x:c r="K99" s="819" t="n">
        <x:f>ROUND(H99*E99,2)</x:f>
        <x:v>0</x:v>
      </x:c>
      <x:c r="L99" s="819" t="n">
        <x:f>J99+K99</x:f>
        <x:v>0</x:v>
      </x:c>
      <x:c r="M99" s="840" t="n">
        <x:f>IF(D99=0,0,I99/D99)</x:f>
        <x:v>0</x:v>
      </x:c>
      <x:c r="N99" s="833" t="n">
        <x:f>D99-I99</x:f>
        <x:v>36</x:v>
      </x:c>
      <x:c r="O99" s="850" t="n">
        <x:f>F99-L99</x:f>
        <x:v>818.28</x:v>
      </x:c>
    </x:row>
    <x:row r="100" ht="31" customHeight="1">
      <x:c r="A100" s="1865" t="s">
        <x:v>227</x:v>
      </x:c>
      <x:c r="B100" s="1821" t="s">
        <x:v>208</x:v>
      </x:c>
      <x:c r="C100" s="1501" t="s">
        <x:v>73</x:v>
      </x:c>
      <x:c r="D100" s="1575">
        <x:v>41</x:v>
      </x:c>
      <x:c r="E100" s="1578">
        <x:v>14.53</x:v>
      </x:c>
      <x:c r="F100" s="819" t="n">
        <x:f>ROUND(D100*E100,2)</x:f>
        <x:v>595.73</x:v>
      </x:c>
      <x:c r="G100" s="1575">
        <x:v>0</x:v>
      </x:c>
      <x:c r="H100" s="832">
        <x:v>0</x:v>
      </x:c>
      <x:c r="I100" s="833" t="n">
        <x:f>G100+H100</x:f>
        <x:v>0</x:v>
      </x:c>
      <x:c r="J100" s="819">
        <x:v>0</x:v>
      </x:c>
      <x:c r="K100" s="819" t="n">
        <x:f>ROUND(H100*E100,2)</x:f>
        <x:v>0</x:v>
      </x:c>
      <x:c r="L100" s="819" t="n">
        <x:f>J100+K100</x:f>
        <x:v>0</x:v>
      </x:c>
      <x:c r="M100" s="840" t="n">
        <x:f>IF(D100=0,0,I100/D100)</x:f>
        <x:v>0</x:v>
      </x:c>
      <x:c r="N100" s="833" t="n">
        <x:f>D100-I100</x:f>
        <x:v>41</x:v>
      </x:c>
      <x:c r="O100" s="850" t="n">
        <x:f>F100-L100</x:f>
        <x:v>595.73</x:v>
      </x:c>
    </x:row>
    <x:row r="101" ht="31" customHeight="1">
      <x:c r="A101" s="1866" t="s">
        <x:v>228</x:v>
      </x:c>
      <x:c r="B101" s="1823" t="s">
        <x:v>229</x:v>
      </x:c>
      <x:c r="C101" s="249" t="s">
        <x:v>73</x:v>
      </x:c>
      <x:c r="D101" s="1576">
        <x:v>40</x:v>
      </x:c>
      <x:c r="E101" s="1579">
        <x:v>22.61</x:v>
      </x:c>
      <x:c r="F101" s="819" t="n">
        <x:f>ROUND(D101*E101,2)</x:f>
        <x:v>904.4</x:v>
      </x:c>
      <x:c r="G101" s="1576">
        <x:v>0</x:v>
      </x:c>
      <x:c r="H101" s="832">
        <x:v>0</x:v>
      </x:c>
      <x:c r="I101" s="833" t="n">
        <x:f>G101+H101</x:f>
        <x:v>0</x:v>
      </x:c>
      <x:c r="J101" s="819">
        <x:v>0</x:v>
      </x:c>
      <x:c r="K101" s="819" t="n">
        <x:f>ROUND(H101*E101,2)</x:f>
        <x:v>0</x:v>
      </x:c>
      <x:c r="L101" s="819" t="n">
        <x:f>J101+K101</x:f>
        <x:v>0</x:v>
      </x:c>
      <x:c r="M101" s="840" t="n">
        <x:f>IF(D101=0,0,I101/D101)</x:f>
        <x:v>0</x:v>
      </x:c>
      <x:c r="N101" s="833" t="n">
        <x:f>D101-I101</x:f>
        <x:v>40</x:v>
      </x:c>
      <x:c r="O101" s="850" t="n">
        <x:f>F101-L101</x:f>
        <x:v>904.4</x:v>
      </x:c>
    </x:row>
    <x:row r="102" ht="23" customHeight="1">
      <x:c r="A102" s="792" t="s">
        <x:v>230</x:v>
      </x:c>
      <x:c r="B102" s="539" t="s">
        <x:v>231</x:v>
      </x:c>
      <x:c r="C102" s="539"/>
      <x:c r="D102" s="1859"/>
      <x:c r="E102" s="1860"/>
      <x:c r="F102" s="1860"/>
      <x:c r="G102" s="1859"/>
      <x:c r="H102" s="1859"/>
      <x:c r="I102" s="1859"/>
      <x:c r="J102" s="1860"/>
      <x:c r="K102" s="1860"/>
      <x:c r="L102" s="1860"/>
      <x:c r="M102" s="1861"/>
      <x:c r="N102" s="1859"/>
      <x:c r="O102" s="1862"/>
    </x:row>
    <x:row r="103" ht="24" customHeight="1">
      <x:c r="A103" s="1865" t="s">
        <x:v>232</x:v>
      </x:c>
      <x:c r="B103" s="1821" t="s">
        <x:v>233</x:v>
      </x:c>
      <x:c r="C103" s="1501" t="s">
        <x:v>152</x:v>
      </x:c>
      <x:c r="D103" s="1575">
        <x:v>163.5</x:v>
      </x:c>
      <x:c r="E103" s="1578">
        <x:v>29.91</x:v>
      </x:c>
      <x:c r="F103" s="819" t="n">
        <x:f>ROUND(D103*E103,2)</x:f>
        <x:v>4890.29</x:v>
      </x:c>
      <x:c r="G103" s="1575">
        <x:v>0</x:v>
      </x:c>
      <x:c r="H103" s="832">
        <x:v>0</x:v>
      </x:c>
      <x:c r="I103" s="833" t="n">
        <x:f>G103+H103</x:f>
        <x:v>0</x:v>
      </x:c>
      <x:c r="J103" s="819">
        <x:v>0</x:v>
      </x:c>
      <x:c r="K103" s="819" t="n">
        <x:f>ROUND(H103*E103,2)</x:f>
        <x:v>0</x:v>
      </x:c>
      <x:c r="L103" s="819" t="n">
        <x:f>J103+K103</x:f>
        <x:v>0</x:v>
      </x:c>
      <x:c r="M103" s="840" t="n">
        <x:f>IF(D103=0,0,I103/D103)</x:f>
        <x:v>0</x:v>
      </x:c>
      <x:c r="N103" s="833" t="n">
        <x:f>D103-I103</x:f>
        <x:v>163.5</x:v>
      </x:c>
      <x:c r="O103" s="850" t="n">
        <x:f>F103-L103</x:f>
        <x:v>4890.29</x:v>
      </x:c>
    </x:row>
    <x:row r="104" ht="43" customHeight="1">
      <x:c r="A104" s="1866" t="s">
        <x:v>234</x:v>
      </x:c>
      <x:c r="B104" s="1823" t="s">
        <x:v>235</x:v>
      </x:c>
      <x:c r="C104" s="249" t="s">
        <x:v>152</x:v>
      </x:c>
      <x:c r="D104" s="1576">
        <x:v>710</x:v>
      </x:c>
      <x:c r="E104" s="1579">
        <x:v>3.58</x:v>
      </x:c>
      <x:c r="F104" s="819" t="n">
        <x:f>ROUND(D104*E104,2)</x:f>
        <x:v>2541.8</x:v>
      </x:c>
      <x:c r="G104" s="1576">
        <x:v>0</x:v>
      </x:c>
      <x:c r="H104" s="832">
        <x:v>0</x:v>
      </x:c>
      <x:c r="I104" s="833" t="n">
        <x:f>G104+H104</x:f>
        <x:v>0</x:v>
      </x:c>
      <x:c r="J104" s="819">
        <x:v>0</x:v>
      </x:c>
      <x:c r="K104" s="819" t="n">
        <x:f>ROUND(H104*E104,2)</x:f>
        <x:v>0</x:v>
      </x:c>
      <x:c r="L104" s="819" t="n">
        <x:f>J104+K104</x:f>
        <x:v>0</x:v>
      </x:c>
      <x:c r="M104" s="840" t="n">
        <x:f>IF(D104=0,0,I104/D104)</x:f>
        <x:v>0</x:v>
      </x:c>
      <x:c r="N104" s="833" t="n">
        <x:f>D104-I104</x:f>
        <x:v>710</x:v>
      </x:c>
      <x:c r="O104" s="850" t="n">
        <x:f>F104-L104</x:f>
        <x:v>2541.8</x:v>
      </x:c>
    </x:row>
    <x:row r="105" ht="43" customHeight="1">
      <x:c r="A105" s="1865" t="s">
        <x:v>236</x:v>
      </x:c>
      <x:c r="B105" s="1821" t="s">
        <x:v>237</x:v>
      </x:c>
      <x:c r="C105" s="1501" t="s">
        <x:v>152</x:v>
      </x:c>
      <x:c r="D105" s="1575">
        <x:v>1210</x:v>
      </x:c>
      <x:c r="E105" s="1578">
        <x:v>5.16</x:v>
      </x:c>
      <x:c r="F105" s="819" t="n">
        <x:f>ROUND(D105*E105,2)</x:f>
        <x:v>6243.6</x:v>
      </x:c>
      <x:c r="G105" s="1575">
        <x:v>0</x:v>
      </x:c>
      <x:c r="H105" s="832">
        <x:v>0</x:v>
      </x:c>
      <x:c r="I105" s="833" t="n">
        <x:f>G105+H105</x:f>
        <x:v>0</x:v>
      </x:c>
      <x:c r="J105" s="819">
        <x:v>0</x:v>
      </x:c>
      <x:c r="K105" s="819" t="n">
        <x:f>ROUND(H105*E105,2)</x:f>
        <x:v>0</x:v>
      </x:c>
      <x:c r="L105" s="819" t="n">
        <x:f>J105+K105</x:f>
        <x:v>0</x:v>
      </x:c>
      <x:c r="M105" s="840" t="n">
        <x:f>IF(D105=0,0,I105/D105)</x:f>
        <x:v>0</x:v>
      </x:c>
      <x:c r="N105" s="833" t="n">
        <x:f>D105-I105</x:f>
        <x:v>1210</x:v>
      </x:c>
      <x:c r="O105" s="850" t="n">
        <x:f>F105-L105</x:f>
        <x:v>6243.6</x:v>
      </x:c>
    </x:row>
    <x:row r="106" ht="31" customHeight="1">
      <x:c r="A106" s="1866" t="s">
        <x:v>238</x:v>
      </x:c>
      <x:c r="B106" s="1823" t="s">
        <x:v>239</x:v>
      </x:c>
      <x:c r="C106" s="249" t="s">
        <x:v>152</x:v>
      </x:c>
      <x:c r="D106" s="1576">
        <x:v>58.3</x:v>
      </x:c>
      <x:c r="E106" s="1579">
        <x:v>7.95</x:v>
      </x:c>
      <x:c r="F106" s="819" t="n">
        <x:f>ROUND(D106*E106,2)</x:f>
        <x:v>463.49</x:v>
      </x:c>
      <x:c r="G106" s="1576">
        <x:v>0</x:v>
      </x:c>
      <x:c r="H106" s="832">
        <x:v>0</x:v>
      </x:c>
      <x:c r="I106" s="833" t="n">
        <x:f>G106+H106</x:f>
        <x:v>0</x:v>
      </x:c>
      <x:c r="J106" s="819">
        <x:v>0</x:v>
      </x:c>
      <x:c r="K106" s="819" t="n">
        <x:f>ROUND(H106*E106,2)</x:f>
        <x:v>0</x:v>
      </x:c>
      <x:c r="L106" s="819" t="n">
        <x:f>J106+K106</x:f>
        <x:v>0</x:v>
      </x:c>
      <x:c r="M106" s="840" t="n">
        <x:f>IF(D106=0,0,I106/D106)</x:f>
        <x:v>0</x:v>
      </x:c>
      <x:c r="N106" s="833" t="n">
        <x:f>D106-I106</x:f>
        <x:v>58.3</x:v>
      </x:c>
      <x:c r="O106" s="850" t="n">
        <x:f>F106-L106</x:f>
        <x:v>463.49</x:v>
      </x:c>
    </x:row>
    <x:row r="107" ht="31" customHeight="1">
      <x:c r="A107" s="1865" t="s">
        <x:v>240</x:v>
      </x:c>
      <x:c r="B107" s="1821" t="s">
        <x:v>241</x:v>
      </x:c>
      <x:c r="C107" s="1501" t="s">
        <x:v>152</x:v>
      </x:c>
      <x:c r="D107" s="1575">
        <x:v>108</x:v>
      </x:c>
      <x:c r="E107" s="1578">
        <x:v>11.09</x:v>
      </x:c>
      <x:c r="F107" s="819" t="n">
        <x:f>ROUND(D107*E107,2)</x:f>
        <x:v>1197.72</x:v>
      </x:c>
      <x:c r="G107" s="1575">
        <x:v>0</x:v>
      </x:c>
      <x:c r="H107" s="832">
        <x:v>0</x:v>
      </x:c>
      <x:c r="I107" s="833" t="n">
        <x:f>G107+H107</x:f>
        <x:v>0</x:v>
      </x:c>
      <x:c r="J107" s="819">
        <x:v>0</x:v>
      </x:c>
      <x:c r="K107" s="819" t="n">
        <x:f>ROUND(H107*E107,2)</x:f>
        <x:v>0</x:v>
      </x:c>
      <x:c r="L107" s="819" t="n">
        <x:f>J107+K107</x:f>
        <x:v>0</x:v>
      </x:c>
      <x:c r="M107" s="840" t="n">
        <x:f>IF(D107=0,0,I107/D107)</x:f>
        <x:v>0</x:v>
      </x:c>
      <x:c r="N107" s="833" t="n">
        <x:f>D107-I107</x:f>
        <x:v>108</x:v>
      </x:c>
      <x:c r="O107" s="850" t="n">
        <x:f>F107-L107</x:f>
        <x:v>1197.72</x:v>
      </x:c>
    </x:row>
    <x:row r="108" ht="23" customHeight="1">
      <x:c r="A108" s="792" t="s">
        <x:v>242</x:v>
      </x:c>
      <x:c r="B108" s="539" t="s">
        <x:v>243</x:v>
      </x:c>
      <x:c r="C108" s="539"/>
      <x:c r="D108" s="1859"/>
      <x:c r="E108" s="1860"/>
      <x:c r="F108" s="1860"/>
      <x:c r="G108" s="1859"/>
      <x:c r="H108" s="1859"/>
      <x:c r="I108" s="1859"/>
      <x:c r="J108" s="1860"/>
      <x:c r="K108" s="1860"/>
      <x:c r="L108" s="1860"/>
      <x:c r="M108" s="1861"/>
      <x:c r="N108" s="1859"/>
      <x:c r="O108" s="1862"/>
    </x:row>
    <x:row r="109" ht="43" customHeight="1">
      <x:c r="A109" s="1866" t="s">
        <x:v>244</x:v>
      </x:c>
      <x:c r="B109" s="1823" t="s">
        <x:v>245</x:v>
      </x:c>
      <x:c r="C109" s="249" t="s">
        <x:v>73</x:v>
      </x:c>
      <x:c r="D109" s="1576">
        <x:v>3</x:v>
      </x:c>
      <x:c r="E109" s="1579">
        <x:v>601.6</x:v>
      </x:c>
      <x:c r="F109" s="819" t="n">
        <x:f>ROUND(D109*E109,2)</x:f>
        <x:v>1804.8</x:v>
      </x:c>
      <x:c r="G109" s="1576">
        <x:v>0</x:v>
      </x:c>
      <x:c r="H109" s="832">
        <x:v>0</x:v>
      </x:c>
      <x:c r="I109" s="833" t="n">
        <x:f>G109+H109</x:f>
        <x:v>0</x:v>
      </x:c>
      <x:c r="J109" s="819">
        <x:v>0</x:v>
      </x:c>
      <x:c r="K109" s="819" t="n">
        <x:f>ROUND(H109*E109,2)</x:f>
        <x:v>0</x:v>
      </x:c>
      <x:c r="L109" s="819" t="n">
        <x:f>J109+K109</x:f>
        <x:v>0</x:v>
      </x:c>
      <x:c r="M109" s="840" t="n">
        <x:f>IF(D109=0,0,I109/D109)</x:f>
        <x:v>0</x:v>
      </x:c>
      <x:c r="N109" s="833" t="n">
        <x:f>D109-I109</x:f>
        <x:v>3</x:v>
      </x:c>
      <x:c r="O109" s="850" t="n">
        <x:f>F109-L109</x:f>
        <x:v>1804.8</x:v>
      </x:c>
    </x:row>
    <x:row r="110" ht="43" customHeight="1">
      <x:c r="A110" s="1865" t="s">
        <x:v>246</x:v>
      </x:c>
      <x:c r="B110" s="1821" t="s">
        <x:v>247</x:v>
      </x:c>
      <x:c r="C110" s="1501" t="s">
        <x:v>73</x:v>
      </x:c>
      <x:c r="D110" s="1575">
        <x:v>1</x:v>
      </x:c>
      <x:c r="E110" s="1578">
        <x:v>101.46</x:v>
      </x:c>
      <x:c r="F110" s="819" t="n">
        <x:f>ROUND(D110*E110,2)</x:f>
        <x:v>101.46</x:v>
      </x:c>
      <x:c r="G110" s="1575">
        <x:v>0</x:v>
      </x:c>
      <x:c r="H110" s="832">
        <x:v>0</x:v>
      </x:c>
      <x:c r="I110" s="833" t="n">
        <x:f>G110+H110</x:f>
        <x:v>0</x:v>
      </x:c>
      <x:c r="J110" s="819">
        <x:v>0</x:v>
      </x:c>
      <x:c r="K110" s="819" t="n">
        <x:f>ROUND(H110*E110,2)</x:f>
        <x:v>0</x:v>
      </x:c>
      <x:c r="L110" s="819" t="n">
        <x:f>J110+K110</x:f>
        <x:v>0</x:v>
      </x:c>
      <x:c r="M110" s="840" t="n">
        <x:f>IF(D110=0,0,I110/D110)</x:f>
        <x:v>0</x:v>
      </x:c>
      <x:c r="N110" s="833" t="n">
        <x:f>D110-I110</x:f>
        <x:v>1</x:v>
      </x:c>
      <x:c r="O110" s="850" t="n">
        <x:f>F110-L110</x:f>
        <x:v>101.46</x:v>
      </x:c>
    </x:row>
    <x:row r="111" ht="23" customHeight="1">
      <x:c r="A111" s="792" t="s">
        <x:v>248</x:v>
      </x:c>
      <x:c r="B111" s="539" t="s">
        <x:v>249</x:v>
      </x:c>
      <x:c r="C111" s="539"/>
      <x:c r="D111" s="1859"/>
      <x:c r="E111" s="1860"/>
      <x:c r="F111" s="1860"/>
      <x:c r="G111" s="1859"/>
      <x:c r="H111" s="1859"/>
      <x:c r="I111" s="1859"/>
      <x:c r="J111" s="1860"/>
      <x:c r="K111" s="1860"/>
      <x:c r="L111" s="1860"/>
      <x:c r="M111" s="1861"/>
      <x:c r="N111" s="1859"/>
      <x:c r="O111" s="1862"/>
    </x:row>
    <x:row r="112" ht="31" customHeight="1">
      <x:c r="A112" s="1866" t="s">
        <x:v>250</x:v>
      </x:c>
      <x:c r="B112" s="1823" t="s">
        <x:v>251</x:v>
      </x:c>
      <x:c r="C112" s="249" t="s">
        <x:v>73</x:v>
      </x:c>
      <x:c r="D112" s="1576">
        <x:v>19</x:v>
      </x:c>
      <x:c r="E112" s="1579">
        <x:v>38.56</x:v>
      </x:c>
      <x:c r="F112" s="819" t="n">
        <x:f>ROUND(D112*E112,2)</x:f>
        <x:v>732.64</x:v>
      </x:c>
      <x:c r="G112" s="1576">
        <x:v>0</x:v>
      </x:c>
      <x:c r="H112" s="832">
        <x:v>0</x:v>
      </x:c>
      <x:c r="I112" s="833" t="n">
        <x:f>G112+H112</x:f>
        <x:v>0</x:v>
      </x:c>
      <x:c r="J112" s="819">
        <x:v>0</x:v>
      </x:c>
      <x:c r="K112" s="819" t="n">
        <x:f>ROUND(H112*E112,2)</x:f>
        <x:v>0</x:v>
      </x:c>
      <x:c r="L112" s="819" t="n">
        <x:f>J112+K112</x:f>
        <x:v>0</x:v>
      </x:c>
      <x:c r="M112" s="840" t="n">
        <x:f>IF(D112=0,0,I112/D112)</x:f>
        <x:v>0</x:v>
      </x:c>
      <x:c r="N112" s="833" t="n">
        <x:f>D112-I112</x:f>
        <x:v>19</x:v>
      </x:c>
      <x:c r="O112" s="850" t="n">
        <x:f>F112-L112</x:f>
        <x:v>732.64</x:v>
      </x:c>
    </x:row>
    <x:row r="113" ht="31" customHeight="1">
      <x:c r="A113" s="1865" t="s">
        <x:v>252</x:v>
      </x:c>
      <x:c r="B113" s="1821" t="s">
        <x:v>253</x:v>
      </x:c>
      <x:c r="C113" s="1501" t="s">
        <x:v>73</x:v>
      </x:c>
      <x:c r="D113" s="1575">
        <x:v>2</x:v>
      </x:c>
      <x:c r="E113" s="1578">
        <x:v>58.87</x:v>
      </x:c>
      <x:c r="F113" s="819" t="n">
        <x:f>ROUND(D113*E113,2)</x:f>
        <x:v>117.74</x:v>
      </x:c>
      <x:c r="G113" s="1575">
        <x:v>0</x:v>
      </x:c>
      <x:c r="H113" s="832">
        <x:v>0</x:v>
      </x:c>
      <x:c r="I113" s="833" t="n">
        <x:f>G113+H113</x:f>
        <x:v>0</x:v>
      </x:c>
      <x:c r="J113" s="819">
        <x:v>0</x:v>
      </x:c>
      <x:c r="K113" s="819" t="n">
        <x:f>ROUND(H113*E113,2)</x:f>
        <x:v>0</x:v>
      </x:c>
      <x:c r="L113" s="819" t="n">
        <x:f>J113+K113</x:f>
        <x:v>0</x:v>
      </x:c>
      <x:c r="M113" s="840" t="n">
        <x:f>IF(D113=0,0,I113/D113)</x:f>
        <x:v>0</x:v>
      </x:c>
      <x:c r="N113" s="833" t="n">
        <x:f>D113-I113</x:f>
        <x:v>2</x:v>
      </x:c>
      <x:c r="O113" s="850" t="n">
        <x:f>F113-L113</x:f>
        <x:v>117.74</x:v>
      </x:c>
    </x:row>
    <x:row r="114" ht="31" customHeight="1">
      <x:c r="A114" s="1866" t="s">
        <x:v>254</x:v>
      </x:c>
      <x:c r="B114" s="1823" t="s">
        <x:v>255</x:v>
      </x:c>
      <x:c r="C114" s="249" t="s">
        <x:v>73</x:v>
      </x:c>
      <x:c r="D114" s="1576">
        <x:v>4</x:v>
      </x:c>
      <x:c r="E114" s="1579">
        <x:v>64.09</x:v>
      </x:c>
      <x:c r="F114" s="819" t="n">
        <x:f>ROUND(D114*E114,2)</x:f>
        <x:v>256.36</x:v>
      </x:c>
      <x:c r="G114" s="1576">
        <x:v>0</x:v>
      </x:c>
      <x:c r="H114" s="832">
        <x:v>0</x:v>
      </x:c>
      <x:c r="I114" s="833" t="n">
        <x:f>G114+H114</x:f>
        <x:v>0</x:v>
      </x:c>
      <x:c r="J114" s="819">
        <x:v>0</x:v>
      </x:c>
      <x:c r="K114" s="819" t="n">
        <x:f>ROUND(H114*E114,2)</x:f>
        <x:v>0</x:v>
      </x:c>
      <x:c r="L114" s="819" t="n">
        <x:f>J114+K114</x:f>
        <x:v>0</x:v>
      </x:c>
      <x:c r="M114" s="840" t="n">
        <x:f>IF(D114=0,0,I114/D114)</x:f>
        <x:v>0</x:v>
      </x:c>
      <x:c r="N114" s="833" t="n">
        <x:f>D114-I114</x:f>
        <x:v>4</x:v>
      </x:c>
      <x:c r="O114" s="850" t="n">
        <x:f>F114-L114</x:f>
        <x:v>256.36</x:v>
      </x:c>
    </x:row>
    <x:row r="115" ht="31" customHeight="1">
      <x:c r="A115" s="1865" t="s">
        <x:v>256</x:v>
      </x:c>
      <x:c r="B115" s="1821" t="s">
        <x:v>257</x:v>
      </x:c>
      <x:c r="C115" s="1501" t="s">
        <x:v>73</x:v>
      </x:c>
      <x:c r="D115" s="1575">
        <x:v>10</x:v>
      </x:c>
      <x:c r="E115" s="1578">
        <x:v>60.83</x:v>
      </x:c>
      <x:c r="F115" s="819" t="n">
        <x:f>ROUND(D115*E115,2)</x:f>
        <x:v>608.3</x:v>
      </x:c>
      <x:c r="G115" s="1575">
        <x:v>0</x:v>
      </x:c>
      <x:c r="H115" s="832">
        <x:v>0</x:v>
      </x:c>
      <x:c r="I115" s="833" t="n">
        <x:f>G115+H115</x:f>
        <x:v>0</x:v>
      </x:c>
      <x:c r="J115" s="819">
        <x:v>0</x:v>
      </x:c>
      <x:c r="K115" s="819" t="n">
        <x:f>ROUND(H115*E115,2)</x:f>
        <x:v>0</x:v>
      </x:c>
      <x:c r="L115" s="819" t="n">
        <x:f>J115+K115</x:f>
        <x:v>0</x:v>
      </x:c>
      <x:c r="M115" s="840" t="n">
        <x:f>IF(D115=0,0,I115/D115)</x:f>
        <x:v>0</x:v>
      </x:c>
      <x:c r="N115" s="833" t="n">
        <x:f>D115-I115</x:f>
        <x:v>10</x:v>
      </x:c>
      <x:c r="O115" s="850" t="n">
        <x:f>F115-L115</x:f>
        <x:v>608.3</x:v>
      </x:c>
    </x:row>
    <x:row r="116" ht="31" customHeight="1">
      <x:c r="A116" s="1866" t="s">
        <x:v>258</x:v>
      </x:c>
      <x:c r="B116" s="1823" t="s">
        <x:v>259</x:v>
      </x:c>
      <x:c r="C116" s="249" t="s">
        <x:v>73</x:v>
      </x:c>
      <x:c r="D116" s="1576">
        <x:v>12</x:v>
      </x:c>
      <x:c r="E116" s="1579">
        <x:v>57.86</x:v>
      </x:c>
      <x:c r="F116" s="819" t="n">
        <x:f>ROUND(D116*E116,2)</x:f>
        <x:v>694.32</x:v>
      </x:c>
      <x:c r="G116" s="1576">
        <x:v>0</x:v>
      </x:c>
      <x:c r="H116" s="832">
        <x:v>0</x:v>
      </x:c>
      <x:c r="I116" s="833" t="n">
        <x:f>G116+H116</x:f>
        <x:v>0</x:v>
      </x:c>
      <x:c r="J116" s="819">
        <x:v>0</x:v>
      </x:c>
      <x:c r="K116" s="819" t="n">
        <x:f>ROUND(H116*E116,2)</x:f>
        <x:v>0</x:v>
      </x:c>
      <x:c r="L116" s="819" t="n">
        <x:f>J116+K116</x:f>
        <x:v>0</x:v>
      </x:c>
      <x:c r="M116" s="840" t="n">
        <x:f>IF(D116=0,0,I116/D116)</x:f>
        <x:v>0</x:v>
      </x:c>
      <x:c r="N116" s="833" t="n">
        <x:f>D116-I116</x:f>
        <x:v>12</x:v>
      </x:c>
      <x:c r="O116" s="850" t="n">
        <x:f>F116-L116</x:f>
        <x:v>694.32</x:v>
      </x:c>
    </x:row>
    <x:row r="117" ht="31" customHeight="1">
      <x:c r="A117" s="1865" t="s">
        <x:v>260</x:v>
      </x:c>
      <x:c r="B117" s="1821" t="s">
        <x:v>261</x:v>
      </x:c>
      <x:c r="C117" s="1501" t="s">
        <x:v>73</x:v>
      </x:c>
      <x:c r="D117" s="1575">
        <x:v>11</x:v>
      </x:c>
      <x:c r="E117" s="1578">
        <x:v>45.32</x:v>
      </x:c>
      <x:c r="F117" s="819" t="n">
        <x:f>ROUND(D117*E117,2)</x:f>
        <x:v>498.52</x:v>
      </x:c>
      <x:c r="G117" s="1575">
        <x:v>0</x:v>
      </x:c>
      <x:c r="H117" s="832">
        <x:v>0</x:v>
      </x:c>
      <x:c r="I117" s="833" t="n">
        <x:f>G117+H117</x:f>
        <x:v>0</x:v>
      </x:c>
      <x:c r="J117" s="819">
        <x:v>0</x:v>
      </x:c>
      <x:c r="K117" s="819" t="n">
        <x:f>ROUND(H117*E117,2)</x:f>
        <x:v>0</x:v>
      </x:c>
      <x:c r="L117" s="819" t="n">
        <x:f>J117+K117</x:f>
        <x:v>0</x:v>
      </x:c>
      <x:c r="M117" s="840" t="n">
        <x:f>IF(D117=0,0,I117/D117)</x:f>
        <x:v>0</x:v>
      </x:c>
      <x:c r="N117" s="833" t="n">
        <x:f>D117-I117</x:f>
        <x:v>11</x:v>
      </x:c>
      <x:c r="O117" s="850" t="n">
        <x:f>F117-L117</x:f>
        <x:v>498.52</x:v>
      </x:c>
    </x:row>
    <x:row r="118" ht="31" customHeight="1">
      <x:c r="A118" s="1866" t="s">
        <x:v>262</x:v>
      </x:c>
      <x:c r="B118" s="1823" t="s">
        <x:v>263</x:v>
      </x:c>
      <x:c r="C118" s="249" t="s">
        <x:v>73</x:v>
      </x:c>
      <x:c r="D118" s="1576">
        <x:v>41</x:v>
      </x:c>
      <x:c r="E118" s="1579">
        <x:v>40.5</x:v>
      </x:c>
      <x:c r="F118" s="819" t="n">
        <x:f>ROUND(D118*E118,2)</x:f>
        <x:v>1660.5</x:v>
      </x:c>
      <x:c r="G118" s="1576">
        <x:v>0</x:v>
      </x:c>
      <x:c r="H118" s="832">
        <x:v>0</x:v>
      </x:c>
      <x:c r="I118" s="833" t="n">
        <x:f>G118+H118</x:f>
        <x:v>0</x:v>
      </x:c>
      <x:c r="J118" s="819">
        <x:v>0</x:v>
      </x:c>
      <x:c r="K118" s="819" t="n">
        <x:f>ROUND(H118*E118,2)</x:f>
        <x:v>0</x:v>
      </x:c>
      <x:c r="L118" s="819" t="n">
        <x:f>J118+K118</x:f>
        <x:v>0</x:v>
      </x:c>
      <x:c r="M118" s="840" t="n">
        <x:f>IF(D118=0,0,I118/D118)</x:f>
        <x:v>0</x:v>
      </x:c>
      <x:c r="N118" s="833" t="n">
        <x:f>D118-I118</x:f>
        <x:v>41</x:v>
      </x:c>
      <x:c r="O118" s="850" t="n">
        <x:f>F118-L118</x:f>
        <x:v>1660.5</x:v>
      </x:c>
    </x:row>
    <x:row r="119" ht="23" customHeight="1">
      <x:c r="A119" s="792" t="s">
        <x:v>264</x:v>
      </x:c>
      <x:c r="B119" s="539" t="s">
        <x:v>265</x:v>
      </x:c>
      <x:c r="C119" s="539"/>
      <x:c r="D119" s="1859"/>
      <x:c r="E119" s="1860"/>
      <x:c r="F119" s="1860"/>
      <x:c r="G119" s="1859"/>
      <x:c r="H119" s="1859"/>
      <x:c r="I119" s="1859"/>
      <x:c r="J119" s="1860"/>
      <x:c r="K119" s="1860"/>
      <x:c r="L119" s="1860"/>
      <x:c r="M119" s="1861"/>
      <x:c r="N119" s="1859"/>
      <x:c r="O119" s="1862"/>
    </x:row>
    <x:row r="120" ht="31" customHeight="1">
      <x:c r="A120" s="1865" t="s">
        <x:v>266</x:v>
      </x:c>
      <x:c r="B120" s="1821" t="s">
        <x:v>267</x:v>
      </x:c>
      <x:c r="C120" s="1501" t="s">
        <x:v>73</x:v>
      </x:c>
      <x:c r="D120" s="1575">
        <x:v>1</x:v>
      </x:c>
      <x:c r="E120" s="1578">
        <x:v>12.85</x:v>
      </x:c>
      <x:c r="F120" s="819" t="n">
        <x:f>ROUND(D120*E120,2)</x:f>
        <x:v>12.85</x:v>
      </x:c>
      <x:c r="G120" s="1575">
        <x:v>0</x:v>
      </x:c>
      <x:c r="H120" s="832">
        <x:v>0</x:v>
      </x:c>
      <x:c r="I120" s="833" t="n">
        <x:f>G120+H120</x:f>
        <x:v>0</x:v>
      </x:c>
      <x:c r="J120" s="819">
        <x:v>0</x:v>
      </x:c>
      <x:c r="K120" s="819" t="n">
        <x:f>ROUND(H120*E120,2)</x:f>
        <x:v>0</x:v>
      </x:c>
      <x:c r="L120" s="819" t="n">
        <x:f>J120+K120</x:f>
        <x:v>0</x:v>
      </x:c>
      <x:c r="M120" s="840" t="n">
        <x:f>IF(D120=0,0,I120/D120)</x:f>
        <x:v>0</x:v>
      </x:c>
      <x:c r="N120" s="833" t="n">
        <x:f>D120-I120</x:f>
        <x:v>1</x:v>
      </x:c>
      <x:c r="O120" s="850" t="n">
        <x:f>F120-L120</x:f>
        <x:v>12.85</x:v>
      </x:c>
    </x:row>
    <x:row r="121" ht="31" customHeight="1">
      <x:c r="A121" s="1866" t="s">
        <x:v>268</x:v>
      </x:c>
      <x:c r="B121" s="1823" t="s">
        <x:v>269</x:v>
      </x:c>
      <x:c r="C121" s="249" t="s">
        <x:v>73</x:v>
      </x:c>
      <x:c r="D121" s="1576">
        <x:v>5</x:v>
      </x:c>
      <x:c r="E121" s="1579">
        <x:v>12.85</x:v>
      </x:c>
      <x:c r="F121" s="819" t="n">
        <x:f>ROUND(D121*E121,2)</x:f>
        <x:v>64.25</x:v>
      </x:c>
      <x:c r="G121" s="1576">
        <x:v>0</x:v>
      </x:c>
      <x:c r="H121" s="832">
        <x:v>0</x:v>
      </x:c>
      <x:c r="I121" s="833" t="n">
        <x:f>G121+H121</x:f>
        <x:v>0</x:v>
      </x:c>
      <x:c r="J121" s="819">
        <x:v>0</x:v>
      </x:c>
      <x:c r="K121" s="819" t="n">
        <x:f>ROUND(H121*E121,2)</x:f>
        <x:v>0</x:v>
      </x:c>
      <x:c r="L121" s="819" t="n">
        <x:f>J121+K121</x:f>
        <x:v>0</x:v>
      </x:c>
      <x:c r="M121" s="840" t="n">
        <x:f>IF(D121=0,0,I121/D121)</x:f>
        <x:v>0</x:v>
      </x:c>
      <x:c r="N121" s="833" t="n">
        <x:f>D121-I121</x:f>
        <x:v>5</x:v>
      </x:c>
      <x:c r="O121" s="850" t="n">
        <x:f>F121-L121</x:f>
        <x:v>64.25</x:v>
      </x:c>
    </x:row>
    <x:row r="122" ht="31" customHeight="1">
      <x:c r="A122" s="1865" t="s">
        <x:v>270</x:v>
      </x:c>
      <x:c r="B122" s="1821" t="s">
        <x:v>271</x:v>
      </x:c>
      <x:c r="C122" s="1501" t="s">
        <x:v>73</x:v>
      </x:c>
      <x:c r="D122" s="1575">
        <x:v>14</x:v>
      </x:c>
      <x:c r="E122" s="1578">
        <x:v>13.99</x:v>
      </x:c>
      <x:c r="F122" s="819" t="n">
        <x:f>ROUND(D122*E122,2)</x:f>
        <x:v>195.86</x:v>
      </x:c>
      <x:c r="G122" s="1575">
        <x:v>0</x:v>
      </x:c>
      <x:c r="H122" s="832">
        <x:v>0</x:v>
      </x:c>
      <x:c r="I122" s="833" t="n">
        <x:f>G122+H122</x:f>
        <x:v>0</x:v>
      </x:c>
      <x:c r="J122" s="819">
        <x:v>0</x:v>
      </x:c>
      <x:c r="K122" s="819" t="n">
        <x:f>ROUND(H122*E122,2)</x:f>
        <x:v>0</x:v>
      </x:c>
      <x:c r="L122" s="819" t="n">
        <x:f>J122+K122</x:f>
        <x:v>0</x:v>
      </x:c>
      <x:c r="M122" s="840" t="n">
        <x:f>IF(D122=0,0,I122/D122)</x:f>
        <x:v>0</x:v>
      </x:c>
      <x:c r="N122" s="833" t="n">
        <x:f>D122-I122</x:f>
        <x:v>14</x:v>
      </x:c>
      <x:c r="O122" s="850" t="n">
        <x:f>F122-L122</x:f>
        <x:v>195.86</x:v>
      </x:c>
    </x:row>
    <x:row r="123" ht="31" customHeight="1">
      <x:c r="A123" s="1866" t="s">
        <x:v>272</x:v>
      </x:c>
      <x:c r="B123" s="1823" t="s">
        <x:v>273</x:v>
      </x:c>
      <x:c r="C123" s="249" t="s">
        <x:v>73</x:v>
      </x:c>
      <x:c r="D123" s="1576">
        <x:v>3</x:v>
      </x:c>
      <x:c r="E123" s="1579">
        <x:v>24.11</x:v>
      </x:c>
      <x:c r="F123" s="819" t="n">
        <x:f>ROUND(D123*E123,2)</x:f>
        <x:v>72.33</x:v>
      </x:c>
      <x:c r="G123" s="1576">
        <x:v>0</x:v>
      </x:c>
      <x:c r="H123" s="832">
        <x:v>0</x:v>
      </x:c>
      <x:c r="I123" s="833" t="n">
        <x:f>G123+H123</x:f>
        <x:v>0</x:v>
      </x:c>
      <x:c r="J123" s="819">
        <x:v>0</x:v>
      </x:c>
      <x:c r="K123" s="819" t="n">
        <x:f>ROUND(H123*E123,2)</x:f>
        <x:v>0</x:v>
      </x:c>
      <x:c r="L123" s="819" t="n">
        <x:f>J123+K123</x:f>
        <x:v>0</x:v>
      </x:c>
      <x:c r="M123" s="840" t="n">
        <x:f>IF(D123=0,0,I123/D123)</x:f>
        <x:v>0</x:v>
      </x:c>
      <x:c r="N123" s="833" t="n">
        <x:f>D123-I123</x:f>
        <x:v>3</x:v>
      </x:c>
      <x:c r="O123" s="850" t="n">
        <x:f>F123-L123</x:f>
        <x:v>72.33</x:v>
      </x:c>
    </x:row>
    <x:row r="124" ht="31" customHeight="1">
      <x:c r="A124" s="1865" t="s">
        <x:v>274</x:v>
      </x:c>
      <x:c r="B124" s="1821" t="s">
        <x:v>275</x:v>
      </x:c>
      <x:c r="C124" s="1501" t="s">
        <x:v>73</x:v>
      </x:c>
      <x:c r="D124" s="1575">
        <x:v>1</x:v>
      </x:c>
      <x:c r="E124" s="1578">
        <x:v>122.04</x:v>
      </x:c>
      <x:c r="F124" s="819" t="n">
        <x:f>ROUND(D124*E124,2)</x:f>
        <x:v>122.04</x:v>
      </x:c>
      <x:c r="G124" s="1575">
        <x:v>0</x:v>
      </x:c>
      <x:c r="H124" s="832">
        <x:v>0</x:v>
      </x:c>
      <x:c r="I124" s="833" t="n">
        <x:f>G124+H124</x:f>
        <x:v>0</x:v>
      </x:c>
      <x:c r="J124" s="819">
        <x:v>0</x:v>
      </x:c>
      <x:c r="K124" s="819" t="n">
        <x:f>ROUND(H124*E124,2)</x:f>
        <x:v>0</x:v>
      </x:c>
      <x:c r="L124" s="819" t="n">
        <x:f>J124+K124</x:f>
        <x:v>0</x:v>
      </x:c>
      <x:c r="M124" s="840" t="n">
        <x:f>IF(D124=0,0,I124/D124)</x:f>
        <x:v>0</x:v>
      </x:c>
      <x:c r="N124" s="833" t="n">
        <x:f>D124-I124</x:f>
        <x:v>1</x:v>
      </x:c>
      <x:c r="O124" s="850" t="n">
        <x:f>F124-L124</x:f>
        <x:v>122.04</x:v>
      </x:c>
    </x:row>
    <x:row r="125" ht="31" customHeight="1">
      <x:c r="A125" s="1866" t="s">
        <x:v>276</x:v>
      </x:c>
      <x:c r="B125" s="1823" t="s">
        <x:v>277</x:v>
      </x:c>
      <x:c r="C125" s="249" t="s">
        <x:v>73</x:v>
      </x:c>
      <x:c r="D125" s="1576">
        <x:v>2</x:v>
      </x:c>
      <x:c r="E125" s="1579">
        <x:v>154.2</x:v>
      </x:c>
      <x:c r="F125" s="819" t="n">
        <x:f>ROUND(D125*E125,2)</x:f>
        <x:v>308.4</x:v>
      </x:c>
      <x:c r="G125" s="1576">
        <x:v>0</x:v>
      </x:c>
      <x:c r="H125" s="832">
        <x:v>0</x:v>
      </x:c>
      <x:c r="I125" s="833" t="n">
        <x:f>G125+H125</x:f>
        <x:v>0</x:v>
      </x:c>
      <x:c r="J125" s="819">
        <x:v>0</x:v>
      </x:c>
      <x:c r="K125" s="819" t="n">
        <x:f>ROUND(H125*E125,2)</x:f>
        <x:v>0</x:v>
      </x:c>
      <x:c r="L125" s="819" t="n">
        <x:f>J125+K125</x:f>
        <x:v>0</x:v>
      </x:c>
      <x:c r="M125" s="840" t="n">
        <x:f>IF(D125=0,0,I125/D125)</x:f>
        <x:v>0</x:v>
      </x:c>
      <x:c r="N125" s="833" t="n">
        <x:f>D125-I125</x:f>
        <x:v>2</x:v>
      </x:c>
      <x:c r="O125" s="850" t="n">
        <x:f>F125-L125</x:f>
        <x:v>308.4</x:v>
      </x:c>
    </x:row>
    <x:row r="126" ht="23" customHeight="1">
      <x:c r="A126" s="792" t="s">
        <x:v>278</x:v>
      </x:c>
      <x:c r="B126" s="539" t="s">
        <x:v>279</x:v>
      </x:c>
      <x:c r="C126" s="539"/>
      <x:c r="D126" s="1859"/>
      <x:c r="E126" s="1860"/>
      <x:c r="F126" s="1860"/>
      <x:c r="G126" s="1859"/>
      <x:c r="H126" s="1859"/>
      <x:c r="I126" s="1859"/>
      <x:c r="J126" s="1860"/>
      <x:c r="K126" s="1860"/>
      <x:c r="L126" s="1860"/>
      <x:c r="M126" s="1861"/>
      <x:c r="N126" s="1859"/>
      <x:c r="O126" s="1862"/>
    </x:row>
    <x:row r="127" ht="43" customHeight="1">
      <x:c r="A127" s="1865" t="s">
        <x:v>280</x:v>
      </x:c>
      <x:c r="B127" s="1821" t="s">
        <x:v>216</x:v>
      </x:c>
      <x:c r="C127" s="1501" t="s">
        <x:v>152</x:v>
      </x:c>
      <x:c r="D127" s="1575">
        <x:v>64.5</x:v>
      </x:c>
      <x:c r="E127" s="1578">
        <x:v>27.12</x:v>
      </x:c>
      <x:c r="F127" s="819" t="n">
        <x:f>ROUND(D127*E127,2)</x:f>
        <x:v>1749.24</x:v>
      </x:c>
      <x:c r="G127" s="1575">
        <x:v>0</x:v>
      </x:c>
      <x:c r="H127" s="832">
        <x:v>0</x:v>
      </x:c>
      <x:c r="I127" s="833" t="n">
        <x:f>G127+H127</x:f>
        <x:v>0</x:v>
      </x:c>
      <x:c r="J127" s="819">
        <x:v>0</x:v>
      </x:c>
      <x:c r="K127" s="819" t="n">
        <x:f>ROUND(H127*E127,2)</x:f>
        <x:v>0</x:v>
      </x:c>
      <x:c r="L127" s="819" t="n">
        <x:f>J127+K127</x:f>
        <x:v>0</x:v>
      </x:c>
      <x:c r="M127" s="840" t="n">
        <x:f>IF(D127=0,0,I127/D127)</x:f>
        <x:v>0</x:v>
      </x:c>
      <x:c r="N127" s="833" t="n">
        <x:f>D127-I127</x:f>
        <x:v>64.5</x:v>
      </x:c>
      <x:c r="O127" s="850" t="n">
        <x:f>F127-L127</x:f>
        <x:v>1749.24</x:v>
      </x:c>
    </x:row>
    <x:row r="128" ht="43" customHeight="1">
      <x:c r="A128" s="1866" t="s">
        <x:v>281</x:v>
      </x:c>
      <x:c r="B128" s="1823" t="s">
        <x:v>282</x:v>
      </x:c>
      <x:c r="C128" s="249" t="s">
        <x:v>152</x:v>
      </x:c>
      <x:c r="D128" s="1576">
        <x:v>12.6</x:v>
      </x:c>
      <x:c r="E128" s="1579">
        <x:v>16.44</x:v>
      </x:c>
      <x:c r="F128" s="819" t="n">
        <x:f>ROUND(D128*E128,2)</x:f>
        <x:v>207.14</x:v>
      </x:c>
      <x:c r="G128" s="1576">
        <x:v>0</x:v>
      </x:c>
      <x:c r="H128" s="832">
        <x:v>0</x:v>
      </x:c>
      <x:c r="I128" s="833" t="n">
        <x:f>G128+H128</x:f>
        <x:v>0</x:v>
      </x:c>
      <x:c r="J128" s="819">
        <x:v>0</x:v>
      </x:c>
      <x:c r="K128" s="819" t="n">
        <x:f>ROUND(H128*E128,2)</x:f>
        <x:v>0</x:v>
      </x:c>
      <x:c r="L128" s="819" t="n">
        <x:f>J128+K128</x:f>
        <x:v>0</x:v>
      </x:c>
      <x:c r="M128" s="840" t="n">
        <x:f>IF(D128=0,0,I128/D128)</x:f>
        <x:v>0</x:v>
      </x:c>
      <x:c r="N128" s="833" t="n">
        <x:f>D128-I128</x:f>
        <x:v>12.6</x:v>
      </x:c>
      <x:c r="O128" s="850" t="n">
        <x:f>F128-L128</x:f>
        <x:v>207.14</x:v>
      </x:c>
    </x:row>
    <x:row r="129" ht="43" customHeight="1">
      <x:c r="A129" s="1865" t="s">
        <x:v>283</x:v>
      </x:c>
      <x:c r="B129" s="1821" t="s">
        <x:v>284</x:v>
      </x:c>
      <x:c r="C129" s="1501" t="s">
        <x:v>152</x:v>
      </x:c>
      <x:c r="D129" s="1575">
        <x:v>215</x:v>
      </x:c>
      <x:c r="E129" s="1578">
        <x:v>23.14</x:v>
      </x:c>
      <x:c r="F129" s="819" t="n">
        <x:f>ROUND(D129*E129,2)</x:f>
        <x:v>4975.1</x:v>
      </x:c>
      <x:c r="G129" s="1575">
        <x:v>0</x:v>
      </x:c>
      <x:c r="H129" s="832">
        <x:v>0</x:v>
      </x:c>
      <x:c r="I129" s="833" t="n">
        <x:f>G129+H129</x:f>
        <x:v>0</x:v>
      </x:c>
      <x:c r="J129" s="819">
        <x:v>0</x:v>
      </x:c>
      <x:c r="K129" s="819" t="n">
        <x:f>ROUND(H129*E129,2)</x:f>
        <x:v>0</x:v>
      </x:c>
      <x:c r="L129" s="819" t="n">
        <x:f>J129+K129</x:f>
        <x:v>0</x:v>
      </x:c>
      <x:c r="M129" s="840" t="n">
        <x:f>IF(D129=0,0,I129/D129)</x:f>
        <x:v>0</x:v>
      </x:c>
      <x:c r="N129" s="833" t="n">
        <x:f>D129-I129</x:f>
        <x:v>215</x:v>
      </x:c>
      <x:c r="O129" s="850" t="n">
        <x:f>F129-L129</x:f>
        <x:v>4975.1</x:v>
      </x:c>
    </x:row>
    <x:row r="130" ht="43" customHeight="1">
      <x:c r="A130" s="1866" t="s">
        <x:v>285</x:v>
      </x:c>
      <x:c r="B130" s="1823" t="s">
        <x:v>286</x:v>
      </x:c>
      <x:c r="C130" s="249" t="s">
        <x:v>152</x:v>
      </x:c>
      <x:c r="D130" s="1576">
        <x:v>180</x:v>
      </x:c>
      <x:c r="E130" s="1579">
        <x:v>12.63</x:v>
      </x:c>
      <x:c r="F130" s="819" t="n">
        <x:f>ROUND(D130*E130,2)</x:f>
        <x:v>2273.4</x:v>
      </x:c>
      <x:c r="G130" s="1576">
        <x:v>0</x:v>
      </x:c>
      <x:c r="H130" s="832">
        <x:v>0</x:v>
      </x:c>
      <x:c r="I130" s="833" t="n">
        <x:f>G130+H130</x:f>
        <x:v>0</x:v>
      </x:c>
      <x:c r="J130" s="819">
        <x:v>0</x:v>
      </x:c>
      <x:c r="K130" s="819" t="n">
        <x:f>ROUND(H130*E130,2)</x:f>
        <x:v>0</x:v>
      </x:c>
      <x:c r="L130" s="819" t="n">
        <x:f>J130+K130</x:f>
        <x:v>0</x:v>
      </x:c>
      <x:c r="M130" s="840" t="n">
        <x:f>IF(D130=0,0,I130/D130)</x:f>
        <x:v>0</x:v>
      </x:c>
      <x:c r="N130" s="833" t="n">
        <x:f>D130-I130</x:f>
        <x:v>180</x:v>
      </x:c>
      <x:c r="O130" s="850" t="n">
        <x:f>F130-L130</x:f>
        <x:v>2273.4</x:v>
      </x:c>
    </x:row>
    <x:row r="131" ht="43" customHeight="1">
      <x:c r="A131" s="1865" t="s">
        <x:v>287</x:v>
      </x:c>
      <x:c r="B131" s="1821" t="s">
        <x:v>288</x:v>
      </x:c>
      <x:c r="C131" s="1501" t="s">
        <x:v>152</x:v>
      </x:c>
      <x:c r="D131" s="1575">
        <x:v>22</x:v>
      </x:c>
      <x:c r="E131" s="1578">
        <x:v>12.63</x:v>
      </x:c>
      <x:c r="F131" s="819" t="n">
        <x:f>ROUND(D131*E131,2)</x:f>
        <x:v>277.86</x:v>
      </x:c>
      <x:c r="G131" s="1575">
        <x:v>0</x:v>
      </x:c>
      <x:c r="H131" s="832">
        <x:v>0</x:v>
      </x:c>
      <x:c r="I131" s="833" t="n">
        <x:f>G131+H131</x:f>
        <x:v>0</x:v>
      </x:c>
      <x:c r="J131" s="819">
        <x:v>0</x:v>
      </x:c>
      <x:c r="K131" s="819" t="n">
        <x:f>ROUND(H131*E131,2)</x:f>
        <x:v>0</x:v>
      </x:c>
      <x:c r="L131" s="819" t="n">
        <x:f>J131+K131</x:f>
        <x:v>0</x:v>
      </x:c>
      <x:c r="M131" s="840" t="n">
        <x:f>IF(D131=0,0,I131/D131)</x:f>
        <x:v>0</x:v>
      </x:c>
      <x:c r="N131" s="833" t="n">
        <x:f>D131-I131</x:f>
        <x:v>22</x:v>
      </x:c>
      <x:c r="O131" s="850" t="n">
        <x:f>F131-L131</x:f>
        <x:v>277.86</x:v>
      </x:c>
    </x:row>
    <x:row r="132" ht="31" customHeight="1">
      <x:c r="A132" s="1866" t="s">
        <x:v>289</x:v>
      </x:c>
      <x:c r="B132" s="1823" t="s">
        <x:v>290</x:v>
      </x:c>
      <x:c r="C132" s="249" t="s">
        <x:v>152</x:v>
      </x:c>
      <x:c r="D132" s="1576">
        <x:v>23</x:v>
      </x:c>
      <x:c r="E132" s="1579">
        <x:v>29.2</x:v>
      </x:c>
      <x:c r="F132" s="819" t="n">
        <x:f>ROUND(D132*E132,2)</x:f>
        <x:v>671.6</x:v>
      </x:c>
      <x:c r="G132" s="1576">
        <x:v>0</x:v>
      </x:c>
      <x:c r="H132" s="832">
        <x:v>0</x:v>
      </x:c>
      <x:c r="I132" s="833" t="n">
        <x:f>G132+H132</x:f>
        <x:v>0</x:v>
      </x:c>
      <x:c r="J132" s="819">
        <x:v>0</x:v>
      </x:c>
      <x:c r="K132" s="819" t="n">
        <x:f>ROUND(H132*E132,2)</x:f>
        <x:v>0</x:v>
      </x:c>
      <x:c r="L132" s="819" t="n">
        <x:f>J132+K132</x:f>
        <x:v>0</x:v>
      </x:c>
      <x:c r="M132" s="840" t="n">
        <x:f>IF(D132=0,0,I132/D132)</x:f>
        <x:v>0</x:v>
      </x:c>
      <x:c r="N132" s="833" t="n">
        <x:f>D132-I132</x:f>
        <x:v>23</x:v>
      </x:c>
      <x:c r="O132" s="850" t="n">
        <x:f>F132-L132</x:f>
        <x:v>671.6</x:v>
      </x:c>
    </x:row>
    <x:row r="133" ht="23" customHeight="1">
      <x:c r="A133" s="792" t="s">
        <x:v>291</x:v>
      </x:c>
      <x:c r="B133" s="539" t="s">
        <x:v>292</x:v>
      </x:c>
      <x:c r="C133" s="539"/>
      <x:c r="D133" s="1859"/>
      <x:c r="E133" s="1860"/>
      <x:c r="F133" s="1860"/>
      <x:c r="G133" s="1859"/>
      <x:c r="H133" s="1859"/>
      <x:c r="I133" s="1859"/>
      <x:c r="J133" s="1860"/>
      <x:c r="K133" s="1860"/>
      <x:c r="L133" s="1860"/>
      <x:c r="M133" s="1861"/>
      <x:c r="N133" s="1859"/>
      <x:c r="O133" s="1862"/>
    </x:row>
    <x:row r="134" ht="43" customHeight="1">
      <x:c r="A134" s="1865" t="s">
        <x:v>293</x:v>
      </x:c>
      <x:c r="B134" s="1821" t="s">
        <x:v>294</x:v>
      </x:c>
      <x:c r="C134" s="1501" t="s">
        <x:v>73</x:v>
      </x:c>
      <x:c r="D134" s="1575">
        <x:v>2</x:v>
      </x:c>
      <x:c r="E134" s="1578">
        <x:v>112.61</x:v>
      </x:c>
      <x:c r="F134" s="819" t="n">
        <x:f>ROUND(D134*E134,2)</x:f>
        <x:v>225.22</x:v>
      </x:c>
      <x:c r="G134" s="1575">
        <x:v>0</x:v>
      </x:c>
      <x:c r="H134" s="832">
        <x:v>0</x:v>
      </x:c>
      <x:c r="I134" s="833" t="n">
        <x:f>G134+H134</x:f>
        <x:v>0</x:v>
      </x:c>
      <x:c r="J134" s="819">
        <x:v>0</x:v>
      </x:c>
      <x:c r="K134" s="819" t="n">
        <x:f>ROUND(H134*E134,2)</x:f>
        <x:v>0</x:v>
      </x:c>
      <x:c r="L134" s="819" t="n">
        <x:f>J134+K134</x:f>
        <x:v>0</x:v>
      </x:c>
      <x:c r="M134" s="840" t="n">
        <x:f>IF(D134=0,0,I134/D134)</x:f>
        <x:v>0</x:v>
      </x:c>
      <x:c r="N134" s="833" t="n">
        <x:f>D134-I134</x:f>
        <x:v>2</x:v>
      </x:c>
      <x:c r="O134" s="850" t="n">
        <x:f>F134-L134</x:f>
        <x:v>225.22</x:v>
      </x:c>
    </x:row>
    <x:row r="135" ht="43" customHeight="1">
      <x:c r="A135" s="1866" t="s">
        <x:v>295</x:v>
      </x:c>
      <x:c r="B135" s="1823" t="s">
        <x:v>296</x:v>
      </x:c>
      <x:c r="C135" s="249" t="s">
        <x:v>73</x:v>
      </x:c>
      <x:c r="D135" s="1576">
        <x:v>20</x:v>
      </x:c>
      <x:c r="E135" s="1579">
        <x:v>59.69</x:v>
      </x:c>
      <x:c r="F135" s="819" t="n">
        <x:f>ROUND(D135*E135,2)</x:f>
        <x:v>1193.8</x:v>
      </x:c>
      <x:c r="G135" s="1576">
        <x:v>0</x:v>
      </x:c>
      <x:c r="H135" s="832">
        <x:v>0</x:v>
      </x:c>
      <x:c r="I135" s="833" t="n">
        <x:f>G135+H135</x:f>
        <x:v>0</x:v>
      </x:c>
      <x:c r="J135" s="819">
        <x:v>0</x:v>
      </x:c>
      <x:c r="K135" s="819" t="n">
        <x:f>ROUND(H135*E135,2)</x:f>
        <x:v>0</x:v>
      </x:c>
      <x:c r="L135" s="819" t="n">
        <x:f>J135+K135</x:f>
        <x:v>0</x:v>
      </x:c>
      <x:c r="M135" s="840" t="n">
        <x:f>IF(D135=0,0,I135/D135)</x:f>
        <x:v>0</x:v>
      </x:c>
      <x:c r="N135" s="833" t="n">
        <x:f>D135-I135</x:f>
        <x:v>20</x:v>
      </x:c>
      <x:c r="O135" s="850" t="n">
        <x:f>F135-L135</x:f>
        <x:v>1193.8</x:v>
      </x:c>
    </x:row>
    <x:row r="136" ht="31" customHeight="1">
      <x:c r="A136" s="1865" t="s">
        <x:v>297</x:v>
      </x:c>
      <x:c r="B136" s="1821" t="s">
        <x:v>298</x:v>
      </x:c>
      <x:c r="C136" s="1501" t="s">
        <x:v>73</x:v>
      </x:c>
      <x:c r="D136" s="1575">
        <x:v>2</x:v>
      </x:c>
      <x:c r="E136" s="1578">
        <x:v>440.14</x:v>
      </x:c>
      <x:c r="F136" s="819" t="n">
        <x:f>ROUND(D136*E136,2)</x:f>
        <x:v>880.28</x:v>
      </x:c>
      <x:c r="G136" s="1575">
        <x:v>0</x:v>
      </x:c>
      <x:c r="H136" s="832">
        <x:v>0</x:v>
      </x:c>
      <x:c r="I136" s="833" t="n">
        <x:f>G136+H136</x:f>
        <x:v>0</x:v>
      </x:c>
      <x:c r="J136" s="819">
        <x:v>0</x:v>
      </x:c>
      <x:c r="K136" s="819" t="n">
        <x:f>ROUND(H136*E136,2)</x:f>
        <x:v>0</x:v>
      </x:c>
      <x:c r="L136" s="819" t="n">
        <x:f>J136+K136</x:f>
        <x:v>0</x:v>
      </x:c>
      <x:c r="M136" s="840" t="n">
        <x:f>IF(D136=0,0,I136/D136)</x:f>
        <x:v>0</x:v>
      </x:c>
      <x:c r="N136" s="833" t="n">
        <x:f>D136-I136</x:f>
        <x:v>2</x:v>
      </x:c>
      <x:c r="O136" s="850" t="n">
        <x:f>F136-L136</x:f>
        <x:v>880.28</x:v>
      </x:c>
    </x:row>
    <x:row r="137" ht="31" customHeight="1">
      <x:c r="A137" s="1866" t="s">
        <x:v>299</x:v>
      </x:c>
      <x:c r="B137" s="1823" t="s">
        <x:v>300</x:v>
      </x:c>
      <x:c r="C137" s="249" t="s">
        <x:v>73</x:v>
      </x:c>
      <x:c r="D137" s="1576">
        <x:v>15</x:v>
      </x:c>
      <x:c r="E137" s="1579">
        <x:v>32.27</x:v>
      </x:c>
      <x:c r="F137" s="819" t="n">
        <x:f>ROUND(D137*E137,2)</x:f>
        <x:v>484.05</x:v>
      </x:c>
      <x:c r="G137" s="1576">
        <x:v>0</x:v>
      </x:c>
      <x:c r="H137" s="832">
        <x:v>0</x:v>
      </x:c>
      <x:c r="I137" s="833" t="n">
        <x:f>G137+H137</x:f>
        <x:v>0</x:v>
      </x:c>
      <x:c r="J137" s="819">
        <x:v>0</x:v>
      </x:c>
      <x:c r="K137" s="819" t="n">
        <x:f>ROUND(H137*E137,2)</x:f>
        <x:v>0</x:v>
      </x:c>
      <x:c r="L137" s="819" t="n">
        <x:f>J137+K137</x:f>
        <x:v>0</x:v>
      </x:c>
      <x:c r="M137" s="840" t="n">
        <x:f>IF(D137=0,0,I137/D137)</x:f>
        <x:v>0</x:v>
      </x:c>
      <x:c r="N137" s="833" t="n">
        <x:f>D137-I137</x:f>
        <x:v>15</x:v>
      </x:c>
      <x:c r="O137" s="850" t="n">
        <x:f>F137-L137</x:f>
        <x:v>484.05</x:v>
      </x:c>
    </x:row>
    <x:row r="138" ht="23" customHeight="1">
      <x:c r="A138" s="792" t="s">
        <x:v>301</x:v>
      </x:c>
      <x:c r="B138" s="539" t="s">
        <x:v>302</x:v>
      </x:c>
      <x:c r="C138" s="539"/>
      <x:c r="D138" s="1859"/>
      <x:c r="E138" s="1860"/>
      <x:c r="F138" s="1860"/>
      <x:c r="G138" s="1859"/>
      <x:c r="H138" s="1859"/>
      <x:c r="I138" s="1859"/>
      <x:c r="J138" s="1860"/>
      <x:c r="K138" s="1860"/>
      <x:c r="L138" s="1860"/>
      <x:c r="M138" s="1861"/>
      <x:c r="N138" s="1859"/>
      <x:c r="O138" s="1862"/>
    </x:row>
    <x:row r="139" ht="31" customHeight="1">
      <x:c r="A139" s="1865" t="s">
        <x:v>303</x:v>
      </x:c>
      <x:c r="B139" s="1821" t="s">
        <x:v>304</x:v>
      </x:c>
      <x:c r="C139" s="1501" t="s">
        <x:v>73</x:v>
      </x:c>
      <x:c r="D139" s="1575">
        <x:v>1</x:v>
      </x:c>
      <x:c r="E139" s="1578">
        <x:v>3286.08</x:v>
      </x:c>
      <x:c r="F139" s="819" t="n">
        <x:f>ROUND(D139*E139,2)</x:f>
        <x:v>3286.08</x:v>
      </x:c>
      <x:c r="G139" s="1575">
        <x:v>0</x:v>
      </x:c>
      <x:c r="H139" s="832">
        <x:v>0</x:v>
      </x:c>
      <x:c r="I139" s="833" t="n">
        <x:f>G139+H139</x:f>
        <x:v>0</x:v>
      </x:c>
      <x:c r="J139" s="819">
        <x:v>0</x:v>
      </x:c>
      <x:c r="K139" s="819" t="n">
        <x:f>ROUND(H139*E139,2)</x:f>
        <x:v>0</x:v>
      </x:c>
      <x:c r="L139" s="819" t="n">
        <x:f>J139+K139</x:f>
        <x:v>0</x:v>
      </x:c>
      <x:c r="M139" s="840" t="n">
        <x:f>IF(D139=0,0,I139/D139)</x:f>
        <x:v>0</x:v>
      </x:c>
      <x:c r="N139" s="833" t="n">
        <x:f>D139-I139</x:f>
        <x:v>1</x:v>
      </x:c>
      <x:c r="O139" s="850" t="n">
        <x:f>F139-L139</x:f>
        <x:v>3286.08</x:v>
      </x:c>
    </x:row>
    <x:row r="140" ht="43" customHeight="1">
      <x:c r="A140" s="1866" t="s">
        <x:v>305</x:v>
      </x:c>
      <x:c r="B140" s="1823" t="s">
        <x:v>306</x:v>
      </x:c>
      <x:c r="C140" s="249" t="s">
        <x:v>73</x:v>
      </x:c>
      <x:c r="D140" s="1576">
        <x:v>1</x:v>
      </x:c>
      <x:c r="E140" s="1579">
        <x:v>613.77</x:v>
      </x:c>
      <x:c r="F140" s="819" t="n">
        <x:f>ROUND(D140*E140,2)</x:f>
        <x:v>613.77</x:v>
      </x:c>
      <x:c r="G140" s="1576">
        <x:v>0</x:v>
      </x:c>
      <x:c r="H140" s="832">
        <x:v>0</x:v>
      </x:c>
      <x:c r="I140" s="833" t="n">
        <x:f>G140+H140</x:f>
        <x:v>0</x:v>
      </x:c>
      <x:c r="J140" s="819">
        <x:v>0</x:v>
      </x:c>
      <x:c r="K140" s="819" t="n">
        <x:f>ROUND(H140*E140,2)</x:f>
        <x:v>0</x:v>
      </x:c>
      <x:c r="L140" s="819" t="n">
        <x:f>J140+K140</x:f>
        <x:v>0</x:v>
      </x:c>
      <x:c r="M140" s="840" t="n">
        <x:f>IF(D140=0,0,I140/D140)</x:f>
        <x:v>0</x:v>
      </x:c>
      <x:c r="N140" s="833" t="n">
        <x:f>D140-I140</x:f>
        <x:v>1</x:v>
      </x:c>
      <x:c r="O140" s="850" t="n">
        <x:f>F140-L140</x:f>
        <x:v>613.77</x:v>
      </x:c>
    </x:row>
    <x:row r="141" ht="23" customHeight="1">
      <x:c r="A141" s="774" t="s">
        <x:v>307</x:v>
      </x:c>
      <x:c r="B141" s="515" t="s">
        <x:v>308</x:v>
      </x:c>
      <x:c r="C141" s="515"/>
      <x:c r="D141" s="1855"/>
      <x:c r="E141" s="1856"/>
      <x:c r="F141" s="1856"/>
      <x:c r="G141" s="1855"/>
      <x:c r="H141" s="1855"/>
      <x:c r="I141" s="1855"/>
      <x:c r="J141" s="1856"/>
      <x:c r="K141" s="1856"/>
      <x:c r="L141" s="1856"/>
      <x:c r="M141" s="1857"/>
      <x:c r="N141" s="1855"/>
      <x:c r="O141" s="1858"/>
    </x:row>
    <x:row r="142" ht="23" customHeight="1">
      <x:c r="A142" s="792" t="s">
        <x:v>309</x:v>
      </x:c>
      <x:c r="B142" s="539" t="s">
        <x:v>310</x:v>
      </x:c>
      <x:c r="C142" s="539"/>
      <x:c r="D142" s="1859"/>
      <x:c r="E142" s="1860"/>
      <x:c r="F142" s="1860"/>
      <x:c r="G142" s="1859"/>
      <x:c r="H142" s="1859"/>
      <x:c r="I142" s="1859"/>
      <x:c r="J142" s="1860"/>
      <x:c r="K142" s="1860"/>
      <x:c r="L142" s="1860"/>
      <x:c r="M142" s="1861"/>
      <x:c r="N142" s="1859"/>
      <x:c r="O142" s="1862"/>
    </x:row>
    <x:row r="143" ht="24" customHeight="1">
      <x:c r="A143" s="1865" t="s">
        <x:v>311</x:v>
      </x:c>
      <x:c r="B143" s="1821" t="s">
        <x:v>312</x:v>
      </x:c>
      <x:c r="C143" s="1501" t="s">
        <x:v>73</x:v>
      </x:c>
      <x:c r="D143" s="1575">
        <x:v>1</x:v>
      </x:c>
      <x:c r="E143" s="1578">
        <x:v>385.21</x:v>
      </x:c>
      <x:c r="F143" s="819" t="n">
        <x:f>ROUND(D143*E143,2)</x:f>
        <x:v>385.21</x:v>
      </x:c>
      <x:c r="G143" s="1575">
        <x:v>0</x:v>
      </x:c>
      <x:c r="H143" s="832">
        <x:v>0</x:v>
      </x:c>
      <x:c r="I143" s="833" t="n">
        <x:f>G143+H143</x:f>
        <x:v>0</x:v>
      </x:c>
      <x:c r="J143" s="819">
        <x:v>0</x:v>
      </x:c>
      <x:c r="K143" s="819" t="n">
        <x:f>ROUND(H143*E143,2)</x:f>
        <x:v>0</x:v>
      </x:c>
      <x:c r="L143" s="819" t="n">
        <x:f>J143+K143</x:f>
        <x:v>0</x:v>
      </x:c>
      <x:c r="M143" s="840" t="n">
        <x:f>IF(D143=0,0,I143/D143)</x:f>
        <x:v>0</x:v>
      </x:c>
      <x:c r="N143" s="833" t="n">
        <x:f>D143-I143</x:f>
        <x:v>1</x:v>
      </x:c>
      <x:c r="O143" s="850" t="n">
        <x:f>F143-L143</x:f>
        <x:v>385.21</x:v>
      </x:c>
    </x:row>
    <x:row r="144" ht="43" customHeight="1">
      <x:c r="A144" s="1866" t="s">
        <x:v>313</x:v>
      </x:c>
      <x:c r="B144" s="1823" t="s">
        <x:v>314</x:v>
      </x:c>
      <x:c r="C144" s="249" t="s">
        <x:v>73</x:v>
      </x:c>
      <x:c r="D144" s="1576">
        <x:v>7</x:v>
      </x:c>
      <x:c r="E144" s="1579">
        <x:v>678.29</x:v>
      </x:c>
      <x:c r="F144" s="819" t="n">
        <x:f>ROUND(D144*E144,2)</x:f>
        <x:v>4748.03</x:v>
      </x:c>
      <x:c r="G144" s="1576">
        <x:v>0</x:v>
      </x:c>
      <x:c r="H144" s="832">
        <x:v>0</x:v>
      </x:c>
      <x:c r="I144" s="833" t="n">
        <x:f>G144+H144</x:f>
        <x:v>0</x:v>
      </x:c>
      <x:c r="J144" s="819">
        <x:v>0</x:v>
      </x:c>
      <x:c r="K144" s="819" t="n">
        <x:f>ROUND(H144*E144,2)</x:f>
        <x:v>0</x:v>
      </x:c>
      <x:c r="L144" s="819" t="n">
        <x:f>J144+K144</x:f>
        <x:v>0</x:v>
      </x:c>
      <x:c r="M144" s="840" t="n">
        <x:f>IF(D144=0,0,I144/D144)</x:f>
        <x:v>0</x:v>
      </x:c>
      <x:c r="N144" s="833" t="n">
        <x:f>D144-I144</x:f>
        <x:v>7</x:v>
      </x:c>
      <x:c r="O144" s="850" t="n">
        <x:f>F144-L144</x:f>
        <x:v>4748.03</x:v>
      </x:c>
    </x:row>
    <x:row r="145" ht="31" customHeight="1">
      <x:c r="A145" s="1865" t="s">
        <x:v>315</x:v>
      </x:c>
      <x:c r="B145" s="1821" t="s">
        <x:v>316</x:v>
      </x:c>
      <x:c r="C145" s="1501" t="s">
        <x:v>73</x:v>
      </x:c>
      <x:c r="D145" s="1575">
        <x:v>3</x:v>
      </x:c>
      <x:c r="E145" s="1578">
        <x:v>40.87</x:v>
      </x:c>
      <x:c r="F145" s="819" t="n">
        <x:f>ROUND(D145*E145,2)</x:f>
        <x:v>122.61</x:v>
      </x:c>
      <x:c r="G145" s="1575">
        <x:v>0</x:v>
      </x:c>
      <x:c r="H145" s="832">
        <x:v>0</x:v>
      </x:c>
      <x:c r="I145" s="833" t="n">
        <x:f>G145+H145</x:f>
        <x:v>0</x:v>
      </x:c>
      <x:c r="J145" s="819">
        <x:v>0</x:v>
      </x:c>
      <x:c r="K145" s="819" t="n">
        <x:f>ROUND(H145*E145,2)</x:f>
        <x:v>0</x:v>
      </x:c>
      <x:c r="L145" s="819" t="n">
        <x:f>J145+K145</x:f>
        <x:v>0</x:v>
      </x:c>
      <x:c r="M145" s="840" t="n">
        <x:f>IF(D145=0,0,I145/D145)</x:f>
        <x:v>0</x:v>
      </x:c>
      <x:c r="N145" s="833" t="n">
        <x:f>D145-I145</x:f>
        <x:v>3</x:v>
      </x:c>
      <x:c r="O145" s="850" t="n">
        <x:f>F145-L145</x:f>
        <x:v>122.61</x:v>
      </x:c>
    </x:row>
    <x:row r="146" ht="43" customHeight="1">
      <x:c r="A146" s="1866" t="s">
        <x:v>317</x:v>
      </x:c>
      <x:c r="B146" s="1823" t="s">
        <x:v>318</x:v>
      </x:c>
      <x:c r="C146" s="249" t="s">
        <x:v>73</x:v>
      </x:c>
      <x:c r="D146" s="1576">
        <x:v>4</x:v>
      </x:c>
      <x:c r="E146" s="1579">
        <x:v>53.26</x:v>
      </x:c>
      <x:c r="F146" s="819" t="n">
        <x:f>ROUND(D146*E146,2)</x:f>
        <x:v>213.04</x:v>
      </x:c>
      <x:c r="G146" s="1576">
        <x:v>0</x:v>
      </x:c>
      <x:c r="H146" s="832">
        <x:v>0</x:v>
      </x:c>
      <x:c r="I146" s="833" t="n">
        <x:f>G146+H146</x:f>
        <x:v>0</x:v>
      </x:c>
      <x:c r="J146" s="819">
        <x:v>0</x:v>
      </x:c>
      <x:c r="K146" s="819" t="n">
        <x:f>ROUND(H146*E146,2)</x:f>
        <x:v>0</x:v>
      </x:c>
      <x:c r="L146" s="819" t="n">
        <x:f>J146+K146</x:f>
        <x:v>0</x:v>
      </x:c>
      <x:c r="M146" s="840" t="n">
        <x:f>IF(D146=0,0,I146/D146)</x:f>
        <x:v>0</x:v>
      </x:c>
      <x:c r="N146" s="833" t="n">
        <x:f>D146-I146</x:f>
        <x:v>4</x:v>
      </x:c>
      <x:c r="O146" s="850" t="n">
        <x:f>F146-L146</x:f>
        <x:v>213.04</x:v>
      </x:c>
    </x:row>
    <x:row r="147" ht="43" customHeight="1">
      <x:c r="A147" s="1865" t="s">
        <x:v>319</x:v>
      </x:c>
      <x:c r="B147" s="1821" t="s">
        <x:v>320</x:v>
      </x:c>
      <x:c r="C147" s="1501" t="s">
        <x:v>73</x:v>
      </x:c>
      <x:c r="D147" s="1575">
        <x:v>4</x:v>
      </x:c>
      <x:c r="E147" s="1578">
        <x:v>16.72</x:v>
      </x:c>
      <x:c r="F147" s="819" t="n">
        <x:f>ROUND(D147*E147,2)</x:f>
        <x:v>66.88</x:v>
      </x:c>
      <x:c r="G147" s="1575">
        <x:v>0</x:v>
      </x:c>
      <x:c r="H147" s="832">
        <x:v>0</x:v>
      </x:c>
      <x:c r="I147" s="833" t="n">
        <x:f>G147+H147</x:f>
        <x:v>0</x:v>
      </x:c>
      <x:c r="J147" s="819">
        <x:v>0</x:v>
      </x:c>
      <x:c r="K147" s="819" t="n">
        <x:f>ROUND(H147*E147,2)</x:f>
        <x:v>0</x:v>
      </x:c>
      <x:c r="L147" s="819" t="n">
        <x:f>J147+K147</x:f>
        <x:v>0</x:v>
      </x:c>
      <x:c r="M147" s="840" t="n">
        <x:f>IF(D147=0,0,I147/D147)</x:f>
        <x:v>0</x:v>
      </x:c>
      <x:c r="N147" s="833" t="n">
        <x:f>D147-I147</x:f>
        <x:v>4</x:v>
      </x:c>
      <x:c r="O147" s="850" t="n">
        <x:f>F147-L147</x:f>
        <x:v>66.88</x:v>
      </x:c>
    </x:row>
    <x:row r="148" ht="43" customHeight="1">
      <x:c r="A148" s="1866" t="s">
        <x:v>321</x:v>
      </x:c>
      <x:c r="B148" s="1823" t="s">
        <x:v>322</x:v>
      </x:c>
      <x:c r="C148" s="249" t="s">
        <x:v>73</x:v>
      </x:c>
      <x:c r="D148" s="1576">
        <x:v>2</x:v>
      </x:c>
      <x:c r="E148" s="1579">
        <x:v>35.14</x:v>
      </x:c>
      <x:c r="F148" s="819" t="n">
        <x:f>ROUND(D148*E148,2)</x:f>
        <x:v>70.28</x:v>
      </x:c>
      <x:c r="G148" s="1576">
        <x:v>0</x:v>
      </x:c>
      <x:c r="H148" s="832">
        <x:v>0</x:v>
      </x:c>
      <x:c r="I148" s="833" t="n">
        <x:f>G148+H148</x:f>
        <x:v>0</x:v>
      </x:c>
      <x:c r="J148" s="819">
        <x:v>0</x:v>
      </x:c>
      <x:c r="K148" s="819" t="n">
        <x:f>ROUND(H148*E148,2)</x:f>
        <x:v>0</x:v>
      </x:c>
      <x:c r="L148" s="819" t="n">
        <x:f>J148+K148</x:f>
        <x:v>0</x:v>
      </x:c>
      <x:c r="M148" s="840" t="n">
        <x:f>IF(D148=0,0,I148/D148)</x:f>
        <x:v>0</x:v>
      </x:c>
      <x:c r="N148" s="833" t="n">
        <x:f>D148-I148</x:f>
        <x:v>2</x:v>
      </x:c>
      <x:c r="O148" s="850" t="n">
        <x:f>F148-L148</x:f>
        <x:v>70.28</x:v>
      </x:c>
    </x:row>
    <x:row r="149" ht="43" customHeight="1">
      <x:c r="A149" s="1865" t="s">
        <x:v>323</x:v>
      </x:c>
      <x:c r="B149" s="1821" t="s">
        <x:v>324</x:v>
      </x:c>
      <x:c r="C149" s="1501" t="s">
        <x:v>73</x:v>
      </x:c>
      <x:c r="D149" s="1575">
        <x:v>2</x:v>
      </x:c>
      <x:c r="E149" s="1578">
        <x:v>13.29</x:v>
      </x:c>
      <x:c r="F149" s="819" t="n">
        <x:f>ROUND(D149*E149,2)</x:f>
        <x:v>26.58</x:v>
      </x:c>
      <x:c r="G149" s="1575">
        <x:v>0</x:v>
      </x:c>
      <x:c r="H149" s="832">
        <x:v>0</x:v>
      </x:c>
      <x:c r="I149" s="833" t="n">
        <x:f>G149+H149</x:f>
        <x:v>0</x:v>
      </x:c>
      <x:c r="J149" s="819">
        <x:v>0</x:v>
      </x:c>
      <x:c r="K149" s="819" t="n">
        <x:f>ROUND(H149*E149,2)</x:f>
        <x:v>0</x:v>
      </x:c>
      <x:c r="L149" s="819" t="n">
        <x:f>J149+K149</x:f>
        <x:v>0</x:v>
      </x:c>
      <x:c r="M149" s="840" t="n">
        <x:f>IF(D149=0,0,I149/D149)</x:f>
        <x:v>0</x:v>
      </x:c>
      <x:c r="N149" s="833" t="n">
        <x:f>D149-I149</x:f>
        <x:v>2</x:v>
      </x:c>
      <x:c r="O149" s="850" t="n">
        <x:f>F149-L149</x:f>
        <x:v>26.58</x:v>
      </x:c>
    </x:row>
    <x:row r="150" ht="43" customHeight="1">
      <x:c r="A150" s="1866" t="s">
        <x:v>325</x:v>
      </x:c>
      <x:c r="B150" s="1823" t="s">
        <x:v>326</x:v>
      </x:c>
      <x:c r="C150" s="249" t="s">
        <x:v>73</x:v>
      </x:c>
      <x:c r="D150" s="1576">
        <x:v>7</x:v>
      </x:c>
      <x:c r="E150" s="1579">
        <x:v>12.98</x:v>
      </x:c>
      <x:c r="F150" s="819" t="n">
        <x:f>ROUND(D150*E150,2)</x:f>
        <x:v>90.86</x:v>
      </x:c>
      <x:c r="G150" s="1576">
        <x:v>0</x:v>
      </x:c>
      <x:c r="H150" s="832">
        <x:v>0</x:v>
      </x:c>
      <x:c r="I150" s="833" t="n">
        <x:f>G150+H150</x:f>
        <x:v>0</x:v>
      </x:c>
      <x:c r="J150" s="819">
        <x:v>0</x:v>
      </x:c>
      <x:c r="K150" s="819" t="n">
        <x:f>ROUND(H150*E150,2)</x:f>
        <x:v>0</x:v>
      </x:c>
      <x:c r="L150" s="819" t="n">
        <x:f>J150+K150</x:f>
        <x:v>0</x:v>
      </x:c>
      <x:c r="M150" s="840" t="n">
        <x:f>IF(D150=0,0,I150/D150)</x:f>
        <x:v>0</x:v>
      </x:c>
      <x:c r="N150" s="833" t="n">
        <x:f>D150-I150</x:f>
        <x:v>7</x:v>
      </x:c>
      <x:c r="O150" s="850" t="n">
        <x:f>F150-L150</x:f>
        <x:v>90.86</x:v>
      </x:c>
    </x:row>
    <x:row r="151" ht="43" customHeight="1">
      <x:c r="A151" s="1865" t="s">
        <x:v>327</x:v>
      </x:c>
      <x:c r="B151" s="1821" t="s">
        <x:v>328</x:v>
      </x:c>
      <x:c r="C151" s="1501" t="s">
        <x:v>73</x:v>
      </x:c>
      <x:c r="D151" s="1575">
        <x:v>1</x:v>
      </x:c>
      <x:c r="E151" s="1578">
        <x:v>29.1</x:v>
      </x:c>
      <x:c r="F151" s="819" t="n">
        <x:f>ROUND(D151*E151,2)</x:f>
        <x:v>29.1</x:v>
      </x:c>
      <x:c r="G151" s="1575">
        <x:v>0</x:v>
      </x:c>
      <x:c r="H151" s="832">
        <x:v>0</x:v>
      </x:c>
      <x:c r="I151" s="833" t="n">
        <x:f>G151+H151</x:f>
        <x:v>0</x:v>
      </x:c>
      <x:c r="J151" s="819">
        <x:v>0</x:v>
      </x:c>
      <x:c r="K151" s="819" t="n">
        <x:f>ROUND(H151*E151,2)</x:f>
        <x:v>0</x:v>
      </x:c>
      <x:c r="L151" s="819" t="n">
        <x:f>J151+K151</x:f>
        <x:v>0</x:v>
      </x:c>
      <x:c r="M151" s="840" t="n">
        <x:f>IF(D151=0,0,I151/D151)</x:f>
        <x:v>0</x:v>
      </x:c>
      <x:c r="N151" s="833" t="n">
        <x:f>D151-I151</x:f>
        <x:v>1</x:v>
      </x:c>
      <x:c r="O151" s="850" t="n">
        <x:f>F151-L151</x:f>
        <x:v>29.1</x:v>
      </x:c>
    </x:row>
    <x:row r="152" ht="43" customHeight="1">
      <x:c r="A152" s="1866" t="s">
        <x:v>329</x:v>
      </x:c>
      <x:c r="B152" s="1823" t="s">
        <x:v>330</x:v>
      </x:c>
      <x:c r="C152" s="249" t="s">
        <x:v>73</x:v>
      </x:c>
      <x:c r="D152" s="1576">
        <x:v>1</x:v>
      </x:c>
      <x:c r="E152" s="1579">
        <x:v>34.09</x:v>
      </x:c>
      <x:c r="F152" s="819" t="n">
        <x:f>ROUND(D152*E152,2)</x:f>
        <x:v>34.09</x:v>
      </x:c>
      <x:c r="G152" s="1576">
        <x:v>0</x:v>
      </x:c>
      <x:c r="H152" s="832">
        <x:v>0</x:v>
      </x:c>
      <x:c r="I152" s="833" t="n">
        <x:f>G152+H152</x:f>
        <x:v>0</x:v>
      </x:c>
      <x:c r="J152" s="819">
        <x:v>0</x:v>
      </x:c>
      <x:c r="K152" s="819" t="n">
        <x:f>ROUND(H152*E152,2)</x:f>
        <x:v>0</x:v>
      </x:c>
      <x:c r="L152" s="819" t="n">
        <x:f>J152+K152</x:f>
        <x:v>0</x:v>
      </x:c>
      <x:c r="M152" s="840" t="n">
        <x:f>IF(D152=0,0,I152/D152)</x:f>
        <x:v>0</x:v>
      </x:c>
      <x:c r="N152" s="833" t="n">
        <x:f>D152-I152</x:f>
        <x:v>1</x:v>
      </x:c>
      <x:c r="O152" s="850" t="n">
        <x:f>F152-L152</x:f>
        <x:v>34.09</x:v>
      </x:c>
    </x:row>
    <x:row r="153" ht="43" customHeight="1">
      <x:c r="A153" s="1865" t="s">
        <x:v>331</x:v>
      </x:c>
      <x:c r="B153" s="1821" t="s">
        <x:v>332</x:v>
      </x:c>
      <x:c r="C153" s="1501" t="s">
        <x:v>73</x:v>
      </x:c>
      <x:c r="D153" s="1575">
        <x:v>4</x:v>
      </x:c>
      <x:c r="E153" s="1578">
        <x:v>13</x:v>
      </x:c>
      <x:c r="F153" s="819" t="n">
        <x:f>ROUND(D153*E153,2)</x:f>
        <x:v>52</x:v>
      </x:c>
      <x:c r="G153" s="1575">
        <x:v>0</x:v>
      </x:c>
      <x:c r="H153" s="832">
        <x:v>0</x:v>
      </x:c>
      <x:c r="I153" s="833" t="n">
        <x:f>G153+H153</x:f>
        <x:v>0</x:v>
      </x:c>
      <x:c r="J153" s="819">
        <x:v>0</x:v>
      </x:c>
      <x:c r="K153" s="819" t="n">
        <x:f>ROUND(H153*E153,2)</x:f>
        <x:v>0</x:v>
      </x:c>
      <x:c r="L153" s="819" t="n">
        <x:f>J153+K153</x:f>
        <x:v>0</x:v>
      </x:c>
      <x:c r="M153" s="840" t="n">
        <x:f>IF(D153=0,0,I153/D153)</x:f>
        <x:v>0</x:v>
      </x:c>
      <x:c r="N153" s="833" t="n">
        <x:f>D153-I153</x:f>
        <x:v>4</x:v>
      </x:c>
      <x:c r="O153" s="850" t="n">
        <x:f>F153-L153</x:f>
        <x:v>52</x:v>
      </x:c>
    </x:row>
    <x:row r="154" ht="43" customHeight="1">
      <x:c r="A154" s="1866" t="s">
        <x:v>333</x:v>
      </x:c>
      <x:c r="B154" s="1823" t="s">
        <x:v>334</x:v>
      </x:c>
      <x:c r="C154" s="249" t="s">
        <x:v>73</x:v>
      </x:c>
      <x:c r="D154" s="1576">
        <x:v>5</x:v>
      </x:c>
      <x:c r="E154" s="1579">
        <x:v>18.3</x:v>
      </x:c>
      <x:c r="F154" s="819" t="n">
        <x:f>ROUND(D154*E154,2)</x:f>
        <x:v>91.5</x:v>
      </x:c>
      <x:c r="G154" s="1576">
        <x:v>0</x:v>
      </x:c>
      <x:c r="H154" s="832">
        <x:v>0</x:v>
      </x:c>
      <x:c r="I154" s="833" t="n">
        <x:f>G154+H154</x:f>
        <x:v>0</x:v>
      </x:c>
      <x:c r="J154" s="819">
        <x:v>0</x:v>
      </x:c>
      <x:c r="K154" s="819" t="n">
        <x:f>ROUND(H154*E154,2)</x:f>
        <x:v>0</x:v>
      </x:c>
      <x:c r="L154" s="819" t="n">
        <x:f>J154+K154</x:f>
        <x:v>0</x:v>
      </x:c>
      <x:c r="M154" s="840" t="n">
        <x:f>IF(D154=0,0,I154/D154)</x:f>
        <x:v>0</x:v>
      </x:c>
      <x:c r="N154" s="833" t="n">
        <x:f>D154-I154</x:f>
        <x:v>5</x:v>
      </x:c>
      <x:c r="O154" s="850" t="n">
        <x:f>F154-L154</x:f>
        <x:v>91.5</x:v>
      </x:c>
    </x:row>
    <x:row r="155" ht="43" customHeight="1">
      <x:c r="A155" s="1865" t="s">
        <x:v>335</x:v>
      </x:c>
      <x:c r="B155" s="1821" t="s">
        <x:v>336</x:v>
      </x:c>
      <x:c r="C155" s="1501" t="s">
        <x:v>73</x:v>
      </x:c>
      <x:c r="D155" s="1575">
        <x:v>2</x:v>
      </x:c>
      <x:c r="E155" s="1578">
        <x:v>51.84</x:v>
      </x:c>
      <x:c r="F155" s="819" t="n">
        <x:f>ROUND(D155*E155,2)</x:f>
        <x:v>103.68</x:v>
      </x:c>
      <x:c r="G155" s="1575">
        <x:v>0</x:v>
      </x:c>
      <x:c r="H155" s="832">
        <x:v>0</x:v>
      </x:c>
      <x:c r="I155" s="833" t="n">
        <x:f>G155+H155</x:f>
        <x:v>0</x:v>
      </x:c>
      <x:c r="J155" s="819">
        <x:v>0</x:v>
      </x:c>
      <x:c r="K155" s="819" t="n">
        <x:f>ROUND(H155*E155,2)</x:f>
        <x:v>0</x:v>
      </x:c>
      <x:c r="L155" s="819" t="n">
        <x:f>J155+K155</x:f>
        <x:v>0</x:v>
      </x:c>
      <x:c r="M155" s="840" t="n">
        <x:f>IF(D155=0,0,I155/D155)</x:f>
        <x:v>0</x:v>
      </x:c>
      <x:c r="N155" s="833" t="n">
        <x:f>D155-I155</x:f>
        <x:v>2</x:v>
      </x:c>
      <x:c r="O155" s="850" t="n">
        <x:f>F155-L155</x:f>
        <x:v>103.68</x:v>
      </x:c>
    </x:row>
    <x:row r="156" ht="43" customHeight="1">
      <x:c r="A156" s="1866" t="s">
        <x:v>337</x:v>
      </x:c>
      <x:c r="B156" s="1823" t="s">
        <x:v>338</x:v>
      </x:c>
      <x:c r="C156" s="249" t="s">
        <x:v>73</x:v>
      </x:c>
      <x:c r="D156" s="1576">
        <x:v>1</x:v>
      </x:c>
      <x:c r="E156" s="1579">
        <x:v>32.82</x:v>
      </x:c>
      <x:c r="F156" s="819" t="n">
        <x:f>ROUND(D156*E156,2)</x:f>
        <x:v>32.82</x:v>
      </x:c>
      <x:c r="G156" s="1576">
        <x:v>0</x:v>
      </x:c>
      <x:c r="H156" s="832">
        <x:v>0</x:v>
      </x:c>
      <x:c r="I156" s="833" t="n">
        <x:f>G156+H156</x:f>
        <x:v>0</x:v>
      </x:c>
      <x:c r="J156" s="819">
        <x:v>0</x:v>
      </x:c>
      <x:c r="K156" s="819" t="n">
        <x:f>ROUND(H156*E156,2)</x:f>
        <x:v>0</x:v>
      </x:c>
      <x:c r="L156" s="819" t="n">
        <x:f>J156+K156</x:f>
        <x:v>0</x:v>
      </x:c>
      <x:c r="M156" s="840" t="n">
        <x:f>IF(D156=0,0,I156/D156)</x:f>
        <x:v>0</x:v>
      </x:c>
      <x:c r="N156" s="833" t="n">
        <x:f>D156-I156</x:f>
        <x:v>1</x:v>
      </x:c>
      <x:c r="O156" s="850" t="n">
        <x:f>F156-L156</x:f>
        <x:v>32.82</x:v>
      </x:c>
    </x:row>
    <x:row r="157" ht="43" customHeight="1">
      <x:c r="A157" s="1865" t="s">
        <x:v>339</x:v>
      </x:c>
      <x:c r="B157" s="1821" t="s">
        <x:v>340</x:v>
      </x:c>
      <x:c r="C157" s="1501" t="s">
        <x:v>73</x:v>
      </x:c>
      <x:c r="D157" s="1575">
        <x:v>1</x:v>
      </x:c>
      <x:c r="E157" s="1578">
        <x:v>59.46</x:v>
      </x:c>
      <x:c r="F157" s="819" t="n">
        <x:f>ROUND(D157*E157,2)</x:f>
        <x:v>59.46</x:v>
      </x:c>
      <x:c r="G157" s="1575">
        <x:v>0</x:v>
      </x:c>
      <x:c r="H157" s="832">
        <x:v>0</x:v>
      </x:c>
      <x:c r="I157" s="833" t="n">
        <x:f>G157+H157</x:f>
        <x:v>0</x:v>
      </x:c>
      <x:c r="J157" s="819">
        <x:v>0</x:v>
      </x:c>
      <x:c r="K157" s="819" t="n">
        <x:f>ROUND(H157*E157,2)</x:f>
        <x:v>0</x:v>
      </x:c>
      <x:c r="L157" s="819" t="n">
        <x:f>J157+K157</x:f>
        <x:v>0</x:v>
      </x:c>
      <x:c r="M157" s="840" t="n">
        <x:f>IF(D157=0,0,I157/D157)</x:f>
        <x:v>0</x:v>
      </x:c>
      <x:c r="N157" s="833" t="n">
        <x:f>D157-I157</x:f>
        <x:v>1</x:v>
      </x:c>
      <x:c r="O157" s="850" t="n">
        <x:f>F157-L157</x:f>
        <x:v>59.46</x:v>
      </x:c>
    </x:row>
    <x:row r="158" ht="43" customHeight="1">
      <x:c r="A158" s="1866" t="s">
        <x:v>341</x:v>
      </x:c>
      <x:c r="B158" s="1823" t="s">
        <x:v>342</x:v>
      </x:c>
      <x:c r="C158" s="249" t="s">
        <x:v>73</x:v>
      </x:c>
      <x:c r="D158" s="1576">
        <x:v>3</x:v>
      </x:c>
      <x:c r="E158" s="1579">
        <x:v>63.97</x:v>
      </x:c>
      <x:c r="F158" s="819" t="n">
        <x:f>ROUND(D158*E158,2)</x:f>
        <x:v>191.91</x:v>
      </x:c>
      <x:c r="G158" s="1576">
        <x:v>0</x:v>
      </x:c>
      <x:c r="H158" s="832">
        <x:v>0</x:v>
      </x:c>
      <x:c r="I158" s="833" t="n">
        <x:f>G158+H158</x:f>
        <x:v>0</x:v>
      </x:c>
      <x:c r="J158" s="819">
        <x:v>0</x:v>
      </x:c>
      <x:c r="K158" s="819" t="n">
        <x:f>ROUND(H158*E158,2)</x:f>
        <x:v>0</x:v>
      </x:c>
      <x:c r="L158" s="819" t="n">
        <x:f>J158+K158</x:f>
        <x:v>0</x:v>
      </x:c>
      <x:c r="M158" s="840" t="n">
        <x:f>IF(D158=0,0,I158/D158)</x:f>
        <x:v>0</x:v>
      </x:c>
      <x:c r="N158" s="833" t="n">
        <x:f>D158-I158</x:f>
        <x:v>3</x:v>
      </x:c>
      <x:c r="O158" s="850" t="n">
        <x:f>F158-L158</x:f>
        <x:v>191.91</x:v>
      </x:c>
    </x:row>
    <x:row r="159" ht="43" customHeight="1">
      <x:c r="A159" s="1865" t="s">
        <x:v>343</x:v>
      </x:c>
      <x:c r="B159" s="1821" t="s">
        <x:v>344</x:v>
      </x:c>
      <x:c r="C159" s="1501" t="s">
        <x:v>73</x:v>
      </x:c>
      <x:c r="D159" s="1575">
        <x:v>10</x:v>
      </x:c>
      <x:c r="E159" s="1578">
        <x:v>23</x:v>
      </x:c>
      <x:c r="F159" s="819" t="n">
        <x:f>ROUND(D159*E159,2)</x:f>
        <x:v>230</x:v>
      </x:c>
      <x:c r="G159" s="1575">
        <x:v>0</x:v>
      </x:c>
      <x:c r="H159" s="832">
        <x:v>0</x:v>
      </x:c>
      <x:c r="I159" s="833" t="n">
        <x:f>G159+H159</x:f>
        <x:v>0</x:v>
      </x:c>
      <x:c r="J159" s="819">
        <x:v>0</x:v>
      </x:c>
      <x:c r="K159" s="819" t="n">
        <x:f>ROUND(H159*E159,2)</x:f>
        <x:v>0</x:v>
      </x:c>
      <x:c r="L159" s="819" t="n">
        <x:f>J159+K159</x:f>
        <x:v>0</x:v>
      </x:c>
      <x:c r="M159" s="840" t="n">
        <x:f>IF(D159=0,0,I159/D159)</x:f>
        <x:v>0</x:v>
      </x:c>
      <x:c r="N159" s="833" t="n">
        <x:f>D159-I159</x:f>
        <x:v>10</x:v>
      </x:c>
      <x:c r="O159" s="850" t="n">
        <x:f>F159-L159</x:f>
        <x:v>230</x:v>
      </x:c>
    </x:row>
    <x:row r="160" ht="43" customHeight="1">
      <x:c r="A160" s="1866" t="s">
        <x:v>345</x:v>
      </x:c>
      <x:c r="B160" s="1823" t="s">
        <x:v>346</x:v>
      </x:c>
      <x:c r="C160" s="249" t="s">
        <x:v>73</x:v>
      </x:c>
      <x:c r="D160" s="1576">
        <x:v>6</x:v>
      </x:c>
      <x:c r="E160" s="1579">
        <x:v>11.8</x:v>
      </x:c>
      <x:c r="F160" s="819" t="n">
        <x:f>ROUND(D160*E160,2)</x:f>
        <x:v>70.8</x:v>
      </x:c>
      <x:c r="G160" s="1576">
        <x:v>0</x:v>
      </x:c>
      <x:c r="H160" s="832">
        <x:v>0</x:v>
      </x:c>
      <x:c r="I160" s="833" t="n">
        <x:f>G160+H160</x:f>
        <x:v>0</x:v>
      </x:c>
      <x:c r="J160" s="819">
        <x:v>0</x:v>
      </x:c>
      <x:c r="K160" s="819" t="n">
        <x:f>ROUND(H160*E160,2)</x:f>
        <x:v>0</x:v>
      </x:c>
      <x:c r="L160" s="819" t="n">
        <x:f>J160+K160</x:f>
        <x:v>0</x:v>
      </x:c>
      <x:c r="M160" s="840" t="n">
        <x:f>IF(D160=0,0,I160/D160)</x:f>
        <x:v>0</x:v>
      </x:c>
      <x:c r="N160" s="833" t="n">
        <x:f>D160-I160</x:f>
        <x:v>6</x:v>
      </x:c>
      <x:c r="O160" s="850" t="n">
        <x:f>F160-L160</x:f>
        <x:v>70.8</x:v>
      </x:c>
    </x:row>
    <x:row r="161" ht="43" customHeight="1">
      <x:c r="A161" s="1865" t="s">
        <x:v>347</x:v>
      </x:c>
      <x:c r="B161" s="1821" t="s">
        <x:v>348</x:v>
      </x:c>
      <x:c r="C161" s="1501" t="s">
        <x:v>152</x:v>
      </x:c>
      <x:c r="D161" s="1575">
        <x:v>65</x:v>
      </x:c>
      <x:c r="E161" s="1578">
        <x:v>46.96</x:v>
      </x:c>
      <x:c r="F161" s="819" t="n">
        <x:f>ROUND(D161*E161,2)</x:f>
        <x:v>3052.4</x:v>
      </x:c>
      <x:c r="G161" s="1575">
        <x:v>0</x:v>
      </x:c>
      <x:c r="H161" s="832">
        <x:v>0</x:v>
      </x:c>
      <x:c r="I161" s="833" t="n">
        <x:f>G161+H161</x:f>
        <x:v>0</x:v>
      </x:c>
      <x:c r="J161" s="819">
        <x:v>0</x:v>
      </x:c>
      <x:c r="K161" s="819" t="n">
        <x:f>ROUND(H161*E161,2)</x:f>
        <x:v>0</x:v>
      </x:c>
      <x:c r="L161" s="819" t="n">
        <x:f>J161+K161</x:f>
        <x:v>0</x:v>
      </x:c>
      <x:c r="M161" s="840" t="n">
        <x:f>IF(D161=0,0,I161/D161)</x:f>
        <x:v>0</x:v>
      </x:c>
      <x:c r="N161" s="833" t="n">
        <x:f>D161-I161</x:f>
        <x:v>65</x:v>
      </x:c>
      <x:c r="O161" s="850" t="n">
        <x:f>F161-L161</x:f>
        <x:v>3052.4</x:v>
      </x:c>
    </x:row>
    <x:row r="162" ht="43" customHeight="1">
      <x:c r="A162" s="1866" t="s">
        <x:v>349</x:v>
      </x:c>
      <x:c r="B162" s="1823" t="s">
        <x:v>350</x:v>
      </x:c>
      <x:c r="C162" s="249" t="s">
        <x:v>152</x:v>
      </x:c>
      <x:c r="D162" s="1576">
        <x:v>7</x:v>
      </x:c>
      <x:c r="E162" s="1579">
        <x:v>26.48</x:v>
      </x:c>
      <x:c r="F162" s="819" t="n">
        <x:f>ROUND(D162*E162,2)</x:f>
        <x:v>185.36</x:v>
      </x:c>
      <x:c r="G162" s="1576">
        <x:v>0</x:v>
      </x:c>
      <x:c r="H162" s="832">
        <x:v>0</x:v>
      </x:c>
      <x:c r="I162" s="833" t="n">
        <x:f>G162+H162</x:f>
        <x:v>0</x:v>
      </x:c>
      <x:c r="J162" s="819">
        <x:v>0</x:v>
      </x:c>
      <x:c r="K162" s="819" t="n">
        <x:f>ROUND(H162*E162,2)</x:f>
        <x:v>0</x:v>
      </x:c>
      <x:c r="L162" s="819" t="n">
        <x:f>J162+K162</x:f>
        <x:v>0</x:v>
      </x:c>
      <x:c r="M162" s="840" t="n">
        <x:f>IF(D162=0,0,I162/D162)</x:f>
        <x:v>0</x:v>
      </x:c>
      <x:c r="N162" s="833" t="n">
        <x:f>D162-I162</x:f>
        <x:v>7</x:v>
      </x:c>
      <x:c r="O162" s="850" t="n">
        <x:f>F162-L162</x:f>
        <x:v>185.36</x:v>
      </x:c>
    </x:row>
    <x:row r="163" ht="43" customHeight="1">
      <x:c r="A163" s="1865" t="s">
        <x:v>351</x:v>
      </x:c>
      <x:c r="B163" s="1821" t="s">
        <x:v>352</x:v>
      </x:c>
      <x:c r="C163" s="1501" t="s">
        <x:v>152</x:v>
      </x:c>
      <x:c r="D163" s="1575">
        <x:v>10</x:v>
      </x:c>
      <x:c r="E163" s="1578">
        <x:v>33.73</x:v>
      </x:c>
      <x:c r="F163" s="819" t="n">
        <x:f>ROUND(D163*E163,2)</x:f>
        <x:v>337.3</x:v>
      </x:c>
      <x:c r="G163" s="1575">
        <x:v>0</x:v>
      </x:c>
      <x:c r="H163" s="832">
        <x:v>0</x:v>
      </x:c>
      <x:c r="I163" s="833" t="n">
        <x:f>G163+H163</x:f>
        <x:v>0</x:v>
      </x:c>
      <x:c r="J163" s="819">
        <x:v>0</x:v>
      </x:c>
      <x:c r="K163" s="819" t="n">
        <x:f>ROUND(H163*E163,2)</x:f>
        <x:v>0</x:v>
      </x:c>
      <x:c r="L163" s="819" t="n">
        <x:f>J163+K163</x:f>
        <x:v>0</x:v>
      </x:c>
      <x:c r="M163" s="840" t="n">
        <x:f>IF(D163=0,0,I163/D163)</x:f>
        <x:v>0</x:v>
      </x:c>
      <x:c r="N163" s="833" t="n">
        <x:f>D163-I163</x:f>
        <x:v>10</x:v>
      </x:c>
      <x:c r="O163" s="850" t="n">
        <x:f>F163-L163</x:f>
        <x:v>337.3</x:v>
      </x:c>
    </x:row>
    <x:row r="164" ht="31" customHeight="1">
      <x:c r="A164" s="1866" t="s">
        <x:v>353</x:v>
      </x:c>
      <x:c r="B164" s="1823" t="s">
        <x:v>354</x:v>
      </x:c>
      <x:c r="C164" s="249" t="s">
        <x:v>73</x:v>
      </x:c>
      <x:c r="D164" s="1576">
        <x:v>1</x:v>
      </x:c>
      <x:c r="E164" s="1579">
        <x:v>42.47</x:v>
      </x:c>
      <x:c r="F164" s="819" t="n">
        <x:f>ROUND(D164*E164,2)</x:f>
        <x:v>42.47</x:v>
      </x:c>
      <x:c r="G164" s="1576">
        <x:v>0</x:v>
      </x:c>
      <x:c r="H164" s="832">
        <x:v>0</x:v>
      </x:c>
      <x:c r="I164" s="833" t="n">
        <x:f>G164+H164</x:f>
        <x:v>0</x:v>
      </x:c>
      <x:c r="J164" s="819">
        <x:v>0</x:v>
      </x:c>
      <x:c r="K164" s="819" t="n">
        <x:f>ROUND(H164*E164,2)</x:f>
        <x:v>0</x:v>
      </x:c>
      <x:c r="L164" s="819" t="n">
        <x:f>J164+K164</x:f>
        <x:v>0</x:v>
      </x:c>
      <x:c r="M164" s="840" t="n">
        <x:f>IF(D164=0,0,I164/D164)</x:f>
        <x:v>0</x:v>
      </x:c>
      <x:c r="N164" s="833" t="n">
        <x:f>D164-I164</x:f>
        <x:v>1</x:v>
      </x:c>
      <x:c r="O164" s="850" t="n">
        <x:f>F164-L164</x:f>
        <x:v>42.47</x:v>
      </x:c>
    </x:row>
    <x:row r="165" ht="43" customHeight="1">
      <x:c r="A165" s="1865" t="s">
        <x:v>355</x:v>
      </x:c>
      <x:c r="B165" s="1821" t="s">
        <x:v>356</x:v>
      </x:c>
      <x:c r="C165" s="1501" t="s">
        <x:v>73</x:v>
      </x:c>
      <x:c r="D165" s="1575">
        <x:v>4</x:v>
      </x:c>
      <x:c r="E165" s="1578">
        <x:v>12.79</x:v>
      </x:c>
      <x:c r="F165" s="819" t="n">
        <x:f>ROUND(D165*E165,2)</x:f>
        <x:v>51.16</x:v>
      </x:c>
      <x:c r="G165" s="1575">
        <x:v>0</x:v>
      </x:c>
      <x:c r="H165" s="832">
        <x:v>0</x:v>
      </x:c>
      <x:c r="I165" s="833" t="n">
        <x:f>G165+H165</x:f>
        <x:v>0</x:v>
      </x:c>
      <x:c r="J165" s="819">
        <x:v>0</x:v>
      </x:c>
      <x:c r="K165" s="819" t="n">
        <x:f>ROUND(H165*E165,2)</x:f>
        <x:v>0</x:v>
      </x:c>
      <x:c r="L165" s="819" t="n">
        <x:f>J165+K165</x:f>
        <x:v>0</x:v>
      </x:c>
      <x:c r="M165" s="840" t="n">
        <x:f>IF(D165=0,0,I165/D165)</x:f>
        <x:v>0</x:v>
      </x:c>
      <x:c r="N165" s="833" t="n">
        <x:f>D165-I165</x:f>
        <x:v>4</x:v>
      </x:c>
      <x:c r="O165" s="850" t="n">
        <x:f>F165-L165</x:f>
        <x:v>51.16</x:v>
      </x:c>
    </x:row>
    <x:row r="166" ht="23" customHeight="1">
      <x:c r="A166" s="792" t="s">
        <x:v>357</x:v>
      </x:c>
      <x:c r="B166" s="539" t="s">
        <x:v>358</x:v>
      </x:c>
      <x:c r="C166" s="539"/>
      <x:c r="D166" s="1859"/>
      <x:c r="E166" s="1860"/>
      <x:c r="F166" s="1860"/>
      <x:c r="G166" s="1859"/>
      <x:c r="H166" s="1859"/>
      <x:c r="I166" s="1859"/>
      <x:c r="J166" s="1860"/>
      <x:c r="K166" s="1860"/>
      <x:c r="L166" s="1860"/>
      <x:c r="M166" s="1861"/>
      <x:c r="N166" s="1859"/>
      <x:c r="O166" s="1862"/>
    </x:row>
    <x:row r="167" ht="55" customHeight="1">
      <x:c r="A167" s="1866" t="s">
        <x:v>359</x:v>
      </x:c>
      <x:c r="B167" s="1823" t="s">
        <x:v>360</x:v>
      </x:c>
      <x:c r="C167" s="249" t="s">
        <x:v>62</x:v>
      </x:c>
      <x:c r="D167" s="1576">
        <x:v>0.7</x:v>
      </x:c>
      <x:c r="E167" s="1579">
        <x:v>614.31</x:v>
      </x:c>
      <x:c r="F167" s="819" t="n">
        <x:f>ROUND(D167*E167,2)</x:f>
        <x:v>430.02</x:v>
      </x:c>
      <x:c r="G167" s="1576">
        <x:v>0</x:v>
      </x:c>
      <x:c r="H167" s="832">
        <x:v>0</x:v>
      </x:c>
      <x:c r="I167" s="833" t="n">
        <x:f>G167+H167</x:f>
        <x:v>0</x:v>
      </x:c>
      <x:c r="J167" s="819">
        <x:v>0</x:v>
      </x:c>
      <x:c r="K167" s="819" t="n">
        <x:f>ROUND(H167*E167,2)</x:f>
        <x:v>0</x:v>
      </x:c>
      <x:c r="L167" s="819" t="n">
        <x:f>J167+K167</x:f>
        <x:v>0</x:v>
      </x:c>
      <x:c r="M167" s="840" t="n">
        <x:f>IF(D167=0,0,I167/D167)</x:f>
        <x:v>0</x:v>
      </x:c>
      <x:c r="N167" s="833" t="n">
        <x:f>D167-I167</x:f>
        <x:v>0.7</x:v>
      </x:c>
      <x:c r="O167" s="850" t="n">
        <x:f>F167-L167</x:f>
        <x:v>430.02</x:v>
      </x:c>
    </x:row>
    <x:row r="168" ht="24" customHeight="1">
      <x:c r="A168" s="1865" t="s">
        <x:v>361</x:v>
      </x:c>
      <x:c r="B168" s="1821" t="s">
        <x:v>362</x:v>
      </x:c>
      <x:c r="C168" s="1501" t="s">
        <x:v>62</x:v>
      </x:c>
      <x:c r="D168" s="1575">
        <x:v>0.3</x:v>
      </x:c>
      <x:c r="E168" s="1578">
        <x:v>216.57</x:v>
      </x:c>
      <x:c r="F168" s="819" t="n">
        <x:f>ROUND(D168*E168,2)</x:f>
        <x:v>64.97</x:v>
      </x:c>
      <x:c r="G168" s="1575">
        <x:v>0</x:v>
      </x:c>
      <x:c r="H168" s="832">
        <x:v>0</x:v>
      </x:c>
      <x:c r="I168" s="833" t="n">
        <x:f>G168+H168</x:f>
        <x:v>0</x:v>
      </x:c>
      <x:c r="J168" s="819">
        <x:v>0</x:v>
      </x:c>
      <x:c r="K168" s="819" t="n">
        <x:f>ROUND(H168*E168,2)</x:f>
        <x:v>0</x:v>
      </x:c>
      <x:c r="L168" s="819" t="n">
        <x:f>J168+K168</x:f>
        <x:v>0</x:v>
      </x:c>
      <x:c r="M168" s="840" t="n">
        <x:f>IF(D168=0,0,I168/D168)</x:f>
        <x:v>0</x:v>
      </x:c>
      <x:c r="N168" s="833" t="n">
        <x:f>D168-I168</x:f>
        <x:v>0.3</x:v>
      </x:c>
      <x:c r="O168" s="850" t="n">
        <x:f>F168-L168</x:f>
        <x:v>64.97</x:v>
      </x:c>
    </x:row>
    <x:row r="169" ht="24" customHeight="1">
      <x:c r="A169" s="1866" t="s">
        <x:v>363</x:v>
      </x:c>
      <x:c r="B169" s="1823" t="s">
        <x:v>364</x:v>
      </x:c>
      <x:c r="C169" s="249" t="s">
        <x:v>73</x:v>
      </x:c>
      <x:c r="D169" s="1576">
        <x:v>2</x:v>
      </x:c>
      <x:c r="E169" s="1579">
        <x:v>149.19</x:v>
      </x:c>
      <x:c r="F169" s="819" t="n">
        <x:f>ROUND(D169*E169,2)</x:f>
        <x:v>298.38</x:v>
      </x:c>
      <x:c r="G169" s="1576">
        <x:v>0</x:v>
      </x:c>
      <x:c r="H169" s="832">
        <x:v>0</x:v>
      </x:c>
      <x:c r="I169" s="833" t="n">
        <x:f>G169+H169</x:f>
        <x:v>0</x:v>
      </x:c>
      <x:c r="J169" s="819">
        <x:v>0</x:v>
      </x:c>
      <x:c r="K169" s="819" t="n">
        <x:f>ROUND(H169*E169,2)</x:f>
        <x:v>0</x:v>
      </x:c>
      <x:c r="L169" s="819" t="n">
        <x:f>J169+K169</x:f>
        <x:v>0</x:v>
      </x:c>
      <x:c r="M169" s="840" t="n">
        <x:f>IF(D169=0,0,I169/D169)</x:f>
        <x:v>0</x:v>
      </x:c>
      <x:c r="N169" s="833" t="n">
        <x:f>D169-I169</x:f>
        <x:v>2</x:v>
      </x:c>
      <x:c r="O169" s="850" t="n">
        <x:f>F169-L169</x:f>
        <x:v>298.38</x:v>
      </x:c>
    </x:row>
    <x:row r="170" ht="31" customHeight="1">
      <x:c r="A170" s="1865" t="s">
        <x:v>365</x:v>
      </x:c>
      <x:c r="B170" s="1821" t="s">
        <x:v>366</x:v>
      </x:c>
      <x:c r="C170" s="1501" t="s">
        <x:v>73</x:v>
      </x:c>
      <x:c r="D170" s="1575">
        <x:v>979</x:v>
      </x:c>
      <x:c r="E170" s="1578">
        <x:v>0.93</x:v>
      </x:c>
      <x:c r="F170" s="819" t="n">
        <x:f>ROUND(D170*E170,2)</x:f>
        <x:v>910.47</x:v>
      </x:c>
      <x:c r="G170" s="1575">
        <x:v>0</x:v>
      </x:c>
      <x:c r="H170" s="832">
        <x:v>0</x:v>
      </x:c>
      <x:c r="I170" s="833" t="n">
        <x:f>G170+H170</x:f>
        <x:v>0</x:v>
      </x:c>
      <x:c r="J170" s="819">
        <x:v>0</x:v>
      </x:c>
      <x:c r="K170" s="819" t="n">
        <x:f>ROUND(H170*E170,2)</x:f>
        <x:v>0</x:v>
      </x:c>
      <x:c r="L170" s="819" t="n">
        <x:f>J170+K170</x:f>
        <x:v>0</x:v>
      </x:c>
      <x:c r="M170" s="840" t="n">
        <x:f>IF(D170=0,0,I170/D170)</x:f>
        <x:v>0</x:v>
      </x:c>
      <x:c r="N170" s="833" t="n">
        <x:f>D170-I170</x:f>
        <x:v>979</x:v>
      </x:c>
      <x:c r="O170" s="850" t="n">
        <x:f>F170-L170</x:f>
        <x:v>910.47</x:v>
      </x:c>
    </x:row>
    <x:row r="171" ht="55" customHeight="1">
      <x:c r="A171" s="1866" t="s">
        <x:v>367</x:v>
      </x:c>
      <x:c r="B171" s="1823" t="s">
        <x:v>368</x:v>
      </x:c>
      <x:c r="C171" s="249" t="s">
        <x:v>62</x:v>
      </x:c>
      <x:c r="D171" s="1576">
        <x:v>12.47</x:v>
      </x:c>
      <x:c r="E171" s="1579">
        <x:v>7.44</x:v>
      </x:c>
      <x:c r="F171" s="819" t="n">
        <x:f>ROUND(D171*E171,2)</x:f>
        <x:v>92.78</x:v>
      </x:c>
      <x:c r="G171" s="1576">
        <x:v>0</x:v>
      </x:c>
      <x:c r="H171" s="832">
        <x:v>0</x:v>
      </x:c>
      <x:c r="I171" s="833" t="n">
        <x:f>G171+H171</x:f>
        <x:v>0</x:v>
      </x:c>
      <x:c r="J171" s="819">
        <x:v>0</x:v>
      </x:c>
      <x:c r="K171" s="819" t="n">
        <x:f>ROUND(H171*E171,2)</x:f>
        <x:v>0</x:v>
      </x:c>
      <x:c r="L171" s="819" t="n">
        <x:f>J171+K171</x:f>
        <x:v>0</x:v>
      </x:c>
      <x:c r="M171" s="840" t="n">
        <x:f>IF(D171=0,0,I171/D171)</x:f>
        <x:v>0</x:v>
      </x:c>
      <x:c r="N171" s="833" t="n">
        <x:f>D171-I171</x:f>
        <x:v>12.47</x:v>
      </x:c>
      <x:c r="O171" s="850" t="n">
        <x:f>F171-L171</x:f>
        <x:v>92.78</x:v>
      </x:c>
    </x:row>
    <x:row r="172" ht="23" customHeight="1">
      <x:c r="A172" s="792" t="s">
        <x:v>369</x:v>
      </x:c>
      <x:c r="B172" s="539" t="s">
        <x:v>370</x:v>
      </x:c>
      <x:c r="C172" s="539"/>
      <x:c r="D172" s="1859"/>
      <x:c r="E172" s="1860"/>
      <x:c r="F172" s="1860"/>
      <x:c r="G172" s="1859"/>
      <x:c r="H172" s="1859"/>
      <x:c r="I172" s="1859"/>
      <x:c r="J172" s="1860"/>
      <x:c r="K172" s="1860"/>
      <x:c r="L172" s="1860"/>
      <x:c r="M172" s="1861"/>
      <x:c r="N172" s="1859"/>
      <x:c r="O172" s="1862"/>
    </x:row>
    <x:row r="173" ht="43" customHeight="1">
      <x:c r="A173" s="1865" t="s">
        <x:v>371</x:v>
      </x:c>
      <x:c r="B173" s="1821" t="s">
        <x:v>326</x:v>
      </x:c>
      <x:c r="C173" s="1501" t="s">
        <x:v>73</x:v>
      </x:c>
      <x:c r="D173" s="1575">
        <x:v>2</x:v>
      </x:c>
      <x:c r="E173" s="1578">
        <x:v>12.98</x:v>
      </x:c>
      <x:c r="F173" s="819" t="n">
        <x:f>ROUND(D173*E173,2)</x:f>
        <x:v>25.96</x:v>
      </x:c>
      <x:c r="G173" s="1575">
        <x:v>0</x:v>
      </x:c>
      <x:c r="H173" s="832">
        <x:v>0</x:v>
      </x:c>
      <x:c r="I173" s="833" t="n">
        <x:f>G173+H173</x:f>
        <x:v>0</x:v>
      </x:c>
      <x:c r="J173" s="819">
        <x:v>0</x:v>
      </x:c>
      <x:c r="K173" s="819" t="n">
        <x:f>ROUND(H173*E173,2)</x:f>
        <x:v>0</x:v>
      </x:c>
      <x:c r="L173" s="819" t="n">
        <x:f>J173+K173</x:f>
        <x:v>0</x:v>
      </x:c>
      <x:c r="M173" s="840" t="n">
        <x:f>IF(D173=0,0,I173/D173)</x:f>
        <x:v>0</x:v>
      </x:c>
      <x:c r="N173" s="833" t="n">
        <x:f>D173-I173</x:f>
        <x:v>2</x:v>
      </x:c>
      <x:c r="O173" s="850" t="n">
        <x:f>F173-L173</x:f>
        <x:v>25.96</x:v>
      </x:c>
    </x:row>
    <x:row r="174" ht="43" customHeight="1">
      <x:c r="A174" s="1866" t="s">
        <x:v>372</x:v>
      </x:c>
      <x:c r="B174" s="1823" t="s">
        <x:v>373</x:v>
      </x:c>
      <x:c r="C174" s="249" t="s">
        <x:v>73</x:v>
      </x:c>
      <x:c r="D174" s="1576">
        <x:v>4</x:v>
      </x:c>
      <x:c r="E174" s="1579">
        <x:v>12.05</x:v>
      </x:c>
      <x:c r="F174" s="819" t="n">
        <x:f>ROUND(D174*E174,2)</x:f>
        <x:v>48.2</x:v>
      </x:c>
      <x:c r="G174" s="1576">
        <x:v>0</x:v>
      </x:c>
      <x:c r="H174" s="832">
        <x:v>0</x:v>
      </x:c>
      <x:c r="I174" s="833" t="n">
        <x:f>G174+H174</x:f>
        <x:v>0</x:v>
      </x:c>
      <x:c r="J174" s="819">
        <x:v>0</x:v>
      </x:c>
      <x:c r="K174" s="819" t="n">
        <x:f>ROUND(H174*E174,2)</x:f>
        <x:v>0</x:v>
      </x:c>
      <x:c r="L174" s="819" t="n">
        <x:f>J174+K174</x:f>
        <x:v>0</x:v>
      </x:c>
      <x:c r="M174" s="840" t="n">
        <x:f>IF(D174=0,0,I174/D174)</x:f>
        <x:v>0</x:v>
      </x:c>
      <x:c r="N174" s="833" t="n">
        <x:f>D174-I174</x:f>
        <x:v>4</x:v>
      </x:c>
      <x:c r="O174" s="850" t="n">
        <x:f>F174-L174</x:f>
        <x:v>48.2</x:v>
      </x:c>
    </x:row>
    <x:row r="175" ht="43" customHeight="1">
      <x:c r="A175" s="1865" t="s">
        <x:v>374</x:v>
      </x:c>
      <x:c r="B175" s="1821" t="s">
        <x:v>375</x:v>
      </x:c>
      <x:c r="C175" s="1501" t="s">
        <x:v>152</x:v>
      </x:c>
      <x:c r="D175" s="1575">
        <x:v>15</x:v>
      </x:c>
      <x:c r="E175" s="1578">
        <x:v>17.05</x:v>
      </x:c>
      <x:c r="F175" s="819" t="n">
        <x:f>ROUND(D175*E175,2)</x:f>
        <x:v>255.75</x:v>
      </x:c>
      <x:c r="G175" s="1575">
        <x:v>0</x:v>
      </x:c>
      <x:c r="H175" s="832">
        <x:v>0</x:v>
      </x:c>
      <x:c r="I175" s="833" t="n">
        <x:f>G175+H175</x:f>
        <x:v>0</x:v>
      </x:c>
      <x:c r="J175" s="819">
        <x:v>0</x:v>
      </x:c>
      <x:c r="K175" s="819" t="n">
        <x:f>ROUND(H175*E175,2)</x:f>
        <x:v>0</x:v>
      </x:c>
      <x:c r="L175" s="819" t="n">
        <x:f>J175+K175</x:f>
        <x:v>0</x:v>
      </x:c>
      <x:c r="M175" s="840" t="n">
        <x:f>IF(D175=0,0,I175/D175)</x:f>
        <x:v>0</x:v>
      </x:c>
      <x:c r="N175" s="833" t="n">
        <x:f>D175-I175</x:f>
        <x:v>15</x:v>
      </x:c>
      <x:c r="O175" s="850" t="n">
        <x:f>F175-L175</x:f>
        <x:v>255.75</x:v>
      </x:c>
    </x:row>
    <x:row r="176" ht="43" customHeight="1">
      <x:c r="A176" s="1866" t="s">
        <x:v>376</x:v>
      </x:c>
      <x:c r="B176" s="1823" t="s">
        <x:v>377</x:v>
      </x:c>
      <x:c r="C176" s="249" t="s">
        <x:v>73</x:v>
      </x:c>
      <x:c r="D176" s="1576">
        <x:v>2</x:v>
      </x:c>
      <x:c r="E176" s="1579">
        <x:v>21.47</x:v>
      </x:c>
      <x:c r="F176" s="819" t="n">
        <x:f>ROUND(D176*E176,2)</x:f>
        <x:v>42.94</x:v>
      </x:c>
      <x:c r="G176" s="1576">
        <x:v>0</x:v>
      </x:c>
      <x:c r="H176" s="832">
        <x:v>0</x:v>
      </x:c>
      <x:c r="I176" s="833" t="n">
        <x:f>G176+H176</x:f>
        <x:v>0</x:v>
      </x:c>
      <x:c r="J176" s="819">
        <x:v>0</x:v>
      </x:c>
      <x:c r="K176" s="819" t="n">
        <x:f>ROUND(H176*E176,2)</x:f>
        <x:v>0</x:v>
      </x:c>
      <x:c r="L176" s="819" t="n">
        <x:f>J176+K176</x:f>
        <x:v>0</x:v>
      </x:c>
      <x:c r="M176" s="840" t="n">
        <x:f>IF(D176=0,0,I176/D176)</x:f>
        <x:v>0</x:v>
      </x:c>
      <x:c r="N176" s="833" t="n">
        <x:f>D176-I176</x:f>
        <x:v>2</x:v>
      </x:c>
      <x:c r="O176" s="850" t="n">
        <x:f>F176-L176</x:f>
        <x:v>42.94</x:v>
      </x:c>
    </x:row>
    <x:row r="177" ht="43" customHeight="1">
      <x:c r="A177" s="1865" t="s">
        <x:v>378</x:v>
      </x:c>
      <x:c r="B177" s="1821" t="s">
        <x:v>379</x:v>
      </x:c>
      <x:c r="C177" s="1501" t="s">
        <x:v>73</x:v>
      </x:c>
      <x:c r="D177" s="1575">
        <x:v>2</x:v>
      </x:c>
      <x:c r="E177" s="1578">
        <x:v>14.29</x:v>
      </x:c>
      <x:c r="F177" s="819" t="n">
        <x:f>ROUND(D177*E177,2)</x:f>
        <x:v>28.58</x:v>
      </x:c>
      <x:c r="G177" s="1575">
        <x:v>0</x:v>
      </x:c>
      <x:c r="H177" s="832">
        <x:v>0</x:v>
      </x:c>
      <x:c r="I177" s="833" t="n">
        <x:f>G177+H177</x:f>
        <x:v>0</x:v>
      </x:c>
      <x:c r="J177" s="819">
        <x:v>0</x:v>
      </x:c>
      <x:c r="K177" s="819" t="n">
        <x:f>ROUND(H177*E177,2)</x:f>
        <x:v>0</x:v>
      </x:c>
      <x:c r="L177" s="819" t="n">
        <x:f>J177+K177</x:f>
        <x:v>0</x:v>
      </x:c>
      <x:c r="M177" s="840" t="n">
        <x:f>IF(D177=0,0,I177/D177)</x:f>
        <x:v>0</x:v>
      </x:c>
      <x:c r="N177" s="833" t="n">
        <x:f>D177-I177</x:f>
        <x:v>2</x:v>
      </x:c>
      <x:c r="O177" s="850" t="n">
        <x:f>F177-L177</x:f>
        <x:v>28.58</x:v>
      </x:c>
    </x:row>
    <x:row r="178" ht="43" customHeight="1">
      <x:c r="A178" s="1866" t="s">
        <x:v>380</x:v>
      </x:c>
      <x:c r="B178" s="1823" t="s">
        <x:v>381</x:v>
      </x:c>
      <x:c r="C178" s="249" t="s">
        <x:v>73</x:v>
      </x:c>
      <x:c r="D178" s="1576">
        <x:v>1</x:v>
      </x:c>
      <x:c r="E178" s="1579">
        <x:v>37.14</x:v>
      </x:c>
      <x:c r="F178" s="819" t="n">
        <x:f>ROUND(D178*E178,2)</x:f>
        <x:v>37.14</x:v>
      </x:c>
      <x:c r="G178" s="1576">
        <x:v>0</x:v>
      </x:c>
      <x:c r="H178" s="832">
        <x:v>0</x:v>
      </x:c>
      <x:c r="I178" s="833" t="n">
        <x:f>G178+H178</x:f>
        <x:v>0</x:v>
      </x:c>
      <x:c r="J178" s="819">
        <x:v>0</x:v>
      </x:c>
      <x:c r="K178" s="819" t="n">
        <x:f>ROUND(H178*E178,2)</x:f>
        <x:v>0</x:v>
      </x:c>
      <x:c r="L178" s="819" t="n">
        <x:f>J178+K178</x:f>
        <x:v>0</x:v>
      </x:c>
      <x:c r="M178" s="840" t="n">
        <x:f>IF(D178=0,0,I178/D178)</x:f>
        <x:v>0</x:v>
      </x:c>
      <x:c r="N178" s="833" t="n">
        <x:f>D178-I178</x:f>
        <x:v>1</x:v>
      </x:c>
      <x:c r="O178" s="850" t="n">
        <x:f>F178-L178</x:f>
        <x:v>37.14</x:v>
      </x:c>
    </x:row>
    <x:row r="179" ht="23" customHeight="1">
      <x:c r="A179" s="792" t="s">
        <x:v>382</x:v>
      </x:c>
      <x:c r="B179" s="539" t="s">
        <x:v>383</x:v>
      </x:c>
      <x:c r="C179" s="539"/>
      <x:c r="D179" s="1859"/>
      <x:c r="E179" s="1860"/>
      <x:c r="F179" s="1860"/>
      <x:c r="G179" s="1859"/>
      <x:c r="H179" s="1859"/>
      <x:c r="I179" s="1859"/>
      <x:c r="J179" s="1860"/>
      <x:c r="K179" s="1860"/>
      <x:c r="L179" s="1860"/>
      <x:c r="M179" s="1861"/>
      <x:c r="N179" s="1859"/>
      <x:c r="O179" s="1862"/>
    </x:row>
    <x:row r="180" ht="31" customHeight="1">
      <x:c r="A180" s="1865" t="s">
        <x:v>384</x:v>
      </x:c>
      <x:c r="B180" s="1821" t="s">
        <x:v>385</x:v>
      </x:c>
      <x:c r="C180" s="1501" t="s">
        <x:v>73</x:v>
      </x:c>
      <x:c r="D180" s="1575">
        <x:v>2</x:v>
      </x:c>
      <x:c r="E180" s="1578">
        <x:v>308.21</x:v>
      </x:c>
      <x:c r="F180" s="819" t="n">
        <x:f>ROUND(D180*E180,2)</x:f>
        <x:v>616.42</x:v>
      </x:c>
      <x:c r="G180" s="1575">
        <x:v>0</x:v>
      </x:c>
      <x:c r="H180" s="832">
        <x:v>0</x:v>
      </x:c>
      <x:c r="I180" s="833" t="n">
        <x:f>G180+H180</x:f>
        <x:v>0</x:v>
      </x:c>
      <x:c r="J180" s="819">
        <x:v>0</x:v>
      </x:c>
      <x:c r="K180" s="819" t="n">
        <x:f>ROUND(H180*E180,2)</x:f>
        <x:v>0</x:v>
      </x:c>
      <x:c r="L180" s="819" t="n">
        <x:f>J180+K180</x:f>
        <x:v>0</x:v>
      </x:c>
      <x:c r="M180" s="840" t="n">
        <x:f>IF(D180=0,0,I180/D180)</x:f>
        <x:v>0</x:v>
      </x:c>
      <x:c r="N180" s="833" t="n">
        <x:f>D180-I180</x:f>
        <x:v>2</x:v>
      </x:c>
      <x:c r="O180" s="850" t="n">
        <x:f>F180-L180</x:f>
        <x:v>616.42</x:v>
      </x:c>
    </x:row>
    <x:row r="181" ht="43" customHeight="1">
      <x:c r="A181" s="1866" t="s">
        <x:v>386</x:v>
      </x:c>
      <x:c r="B181" s="1823" t="s">
        <x:v>387</x:v>
      </x:c>
      <x:c r="C181" s="249" t="s">
        <x:v>73</x:v>
      </x:c>
      <x:c r="D181" s="1576">
        <x:v>4</x:v>
      </x:c>
      <x:c r="E181" s="1579">
        <x:v>617.84</x:v>
      </x:c>
      <x:c r="F181" s="819" t="n">
        <x:f>ROUND(D181*E181,2)</x:f>
        <x:v>2471.36</x:v>
      </x:c>
      <x:c r="G181" s="1576">
        <x:v>0</x:v>
      </x:c>
      <x:c r="H181" s="832">
        <x:v>0</x:v>
      </x:c>
      <x:c r="I181" s="833" t="n">
        <x:f>G181+H181</x:f>
        <x:v>0</x:v>
      </x:c>
      <x:c r="J181" s="819">
        <x:v>0</x:v>
      </x:c>
      <x:c r="K181" s="819" t="n">
        <x:f>ROUND(H181*E181,2)</x:f>
        <x:v>0</x:v>
      </x:c>
      <x:c r="L181" s="819" t="n">
        <x:f>J181+K181</x:f>
        <x:v>0</x:v>
      </x:c>
      <x:c r="M181" s="840" t="n">
        <x:f>IF(D181=0,0,I181/D181)</x:f>
        <x:v>0</x:v>
      </x:c>
      <x:c r="N181" s="833" t="n">
        <x:f>D181-I181</x:f>
        <x:v>4</x:v>
      </x:c>
      <x:c r="O181" s="850" t="n">
        <x:f>F181-L181</x:f>
        <x:v>2471.36</x:v>
      </x:c>
    </x:row>
    <x:row r="182" ht="24" customHeight="1">
      <x:c r="A182" s="1865" t="s">
        <x:v>388</x:v>
      </x:c>
      <x:c r="B182" s="1821" t="s">
        <x:v>389</x:v>
      </x:c>
      <x:c r="C182" s="1501" t="s">
        <x:v>73</x:v>
      </x:c>
      <x:c r="D182" s="1575">
        <x:v>4</x:v>
      </x:c>
      <x:c r="E182" s="1578">
        <x:v>89.9</x:v>
      </x:c>
      <x:c r="F182" s="819" t="n">
        <x:f>ROUND(D182*E182,2)</x:f>
        <x:v>359.6</x:v>
      </x:c>
      <x:c r="G182" s="1575">
        <x:v>0</x:v>
      </x:c>
      <x:c r="H182" s="832">
        <x:v>0</x:v>
      </x:c>
      <x:c r="I182" s="833" t="n">
        <x:f>G182+H182</x:f>
        <x:v>0</x:v>
      </x:c>
      <x:c r="J182" s="819">
        <x:v>0</x:v>
      </x:c>
      <x:c r="K182" s="819" t="n">
        <x:f>ROUND(H182*E182,2)</x:f>
        <x:v>0</x:v>
      </x:c>
      <x:c r="L182" s="819" t="n">
        <x:f>J182+K182</x:f>
        <x:v>0</x:v>
      </x:c>
      <x:c r="M182" s="840" t="n">
        <x:f>IF(D182=0,0,I182/D182)</x:f>
        <x:v>0</x:v>
      </x:c>
      <x:c r="N182" s="833" t="n">
        <x:f>D182-I182</x:f>
        <x:v>4</x:v>
      </x:c>
      <x:c r="O182" s="850" t="n">
        <x:f>F182-L182</x:f>
        <x:v>359.6</x:v>
      </x:c>
    </x:row>
    <x:row r="183" ht="55" customHeight="1">
      <x:c r="A183" s="1866" t="s">
        <x:v>390</x:v>
      </x:c>
      <x:c r="B183" s="1823" t="s">
        <x:v>391</x:v>
      </x:c>
      <x:c r="C183" s="249" t="s">
        <x:v>73</x:v>
      </x:c>
      <x:c r="D183" s="1576">
        <x:v>4</x:v>
      </x:c>
      <x:c r="E183" s="1579">
        <x:v>553.43</x:v>
      </x:c>
      <x:c r="F183" s="819" t="n">
        <x:f>ROUND(D183*E183,2)</x:f>
        <x:v>2213.72</x:v>
      </x:c>
      <x:c r="G183" s="1576">
        <x:v>0</x:v>
      </x:c>
      <x:c r="H183" s="832">
        <x:v>0</x:v>
      </x:c>
      <x:c r="I183" s="833" t="n">
        <x:f>G183+H183</x:f>
        <x:v>0</x:v>
      </x:c>
      <x:c r="J183" s="819">
        <x:v>0</x:v>
      </x:c>
      <x:c r="K183" s="819" t="n">
        <x:f>ROUND(H183*E183,2)</x:f>
        <x:v>0</x:v>
      </x:c>
      <x:c r="L183" s="819" t="n">
        <x:f>J183+K183</x:f>
        <x:v>0</x:v>
      </x:c>
      <x:c r="M183" s="840" t="n">
        <x:f>IF(D183=0,0,I183/D183)</x:f>
        <x:v>0</x:v>
      </x:c>
      <x:c r="N183" s="833" t="n">
        <x:f>D183-I183</x:f>
        <x:v>4</x:v>
      </x:c>
      <x:c r="O183" s="850" t="n">
        <x:f>F183-L183</x:f>
        <x:v>2213.72</x:v>
      </x:c>
    </x:row>
    <x:row r="184" ht="31" customHeight="1">
      <x:c r="A184" s="1865" t="s">
        <x:v>392</x:v>
      </x:c>
      <x:c r="B184" s="1821" t="s">
        <x:v>393</x:v>
      </x:c>
      <x:c r="C184" s="1501" t="s">
        <x:v>73</x:v>
      </x:c>
      <x:c r="D184" s="1575">
        <x:v>4</x:v>
      </x:c>
      <x:c r="E184" s="1578">
        <x:v>148.06</x:v>
      </x:c>
      <x:c r="F184" s="819" t="n">
        <x:f>ROUND(D184*E184,2)</x:f>
        <x:v>592.24</x:v>
      </x:c>
      <x:c r="G184" s="1575">
        <x:v>0</x:v>
      </x:c>
      <x:c r="H184" s="832">
        <x:v>0</x:v>
      </x:c>
      <x:c r="I184" s="833" t="n">
        <x:f>G184+H184</x:f>
        <x:v>0</x:v>
      </x:c>
      <x:c r="J184" s="819">
        <x:v>0</x:v>
      </x:c>
      <x:c r="K184" s="819" t="n">
        <x:f>ROUND(H184*E184,2)</x:f>
        <x:v>0</x:v>
      </x:c>
      <x:c r="L184" s="819" t="n">
        <x:f>J184+K184</x:f>
        <x:v>0</x:v>
      </x:c>
      <x:c r="M184" s="840" t="n">
        <x:f>IF(D184=0,0,I184/D184)</x:f>
        <x:v>0</x:v>
      </x:c>
      <x:c r="N184" s="833" t="n">
        <x:f>D184-I184</x:f>
        <x:v>4</x:v>
      </x:c>
      <x:c r="O184" s="850" t="n">
        <x:f>F184-L184</x:f>
        <x:v>592.24</x:v>
      </x:c>
    </x:row>
    <x:row r="185" ht="31" customHeight="1">
      <x:c r="A185" s="1866" t="s">
        <x:v>394</x:v>
      </x:c>
      <x:c r="B185" s="1823" t="s">
        <x:v>395</x:v>
      </x:c>
      <x:c r="C185" s="249" t="s">
        <x:v>73</x:v>
      </x:c>
      <x:c r="D185" s="1576">
        <x:v>2</x:v>
      </x:c>
      <x:c r="E185" s="1579">
        <x:v>383.16</x:v>
      </x:c>
      <x:c r="F185" s="819" t="n">
        <x:f>ROUND(D185*E185,2)</x:f>
        <x:v>766.32</x:v>
      </x:c>
      <x:c r="G185" s="1576">
        <x:v>0</x:v>
      </x:c>
      <x:c r="H185" s="832">
        <x:v>0</x:v>
      </x:c>
      <x:c r="I185" s="833" t="n">
        <x:f>G185+H185</x:f>
        <x:v>0</x:v>
      </x:c>
      <x:c r="J185" s="819">
        <x:v>0</x:v>
      </x:c>
      <x:c r="K185" s="819" t="n">
        <x:f>ROUND(H185*E185,2)</x:f>
        <x:v>0</x:v>
      </x:c>
      <x:c r="L185" s="819" t="n">
        <x:f>J185+K185</x:f>
        <x:v>0</x:v>
      </x:c>
      <x:c r="M185" s="840" t="n">
        <x:f>IF(D185=0,0,I185/D185)</x:f>
        <x:v>0</x:v>
      </x:c>
      <x:c r="N185" s="833" t="n">
        <x:f>D185-I185</x:f>
        <x:v>2</x:v>
      </x:c>
      <x:c r="O185" s="850" t="n">
        <x:f>F185-L185</x:f>
        <x:v>766.32</x:v>
      </x:c>
    </x:row>
    <x:row r="186" ht="31" customHeight="1">
      <x:c r="A186" s="1865" t="s">
        <x:v>396</x:v>
      </x:c>
      <x:c r="B186" s="1821" t="s">
        <x:v>397</x:v>
      </x:c>
      <x:c r="C186" s="1501" t="s">
        <x:v>73</x:v>
      </x:c>
      <x:c r="D186" s="1575">
        <x:v>2</x:v>
      </x:c>
      <x:c r="E186" s="1578">
        <x:v>364.98</x:v>
      </x:c>
      <x:c r="F186" s="819" t="n">
        <x:f>ROUND(D186*E186,2)</x:f>
        <x:v>729.96</x:v>
      </x:c>
      <x:c r="G186" s="1575">
        <x:v>0</x:v>
      </x:c>
      <x:c r="H186" s="832">
        <x:v>0</x:v>
      </x:c>
      <x:c r="I186" s="833" t="n">
        <x:f>G186+H186</x:f>
        <x:v>0</x:v>
      </x:c>
      <x:c r="J186" s="819">
        <x:v>0</x:v>
      </x:c>
      <x:c r="K186" s="819" t="n">
        <x:f>ROUND(H186*E186,2)</x:f>
        <x:v>0</x:v>
      </x:c>
      <x:c r="L186" s="819" t="n">
        <x:f>J186+K186</x:f>
        <x:v>0</x:v>
      </x:c>
      <x:c r="M186" s="840" t="n">
        <x:f>IF(D186=0,0,I186/D186)</x:f>
        <x:v>0</x:v>
      </x:c>
      <x:c r="N186" s="833" t="n">
        <x:f>D186-I186</x:f>
        <x:v>2</x:v>
      </x:c>
      <x:c r="O186" s="850" t="n">
        <x:f>F186-L186</x:f>
        <x:v>729.96</x:v>
      </x:c>
    </x:row>
    <x:row r="187" ht="31" customHeight="1">
      <x:c r="A187" s="1866" t="s">
        <x:v>398</x:v>
      </x:c>
      <x:c r="B187" s="1823" t="s">
        <x:v>399</x:v>
      </x:c>
      <x:c r="C187" s="249" t="s">
        <x:v>73</x:v>
      </x:c>
      <x:c r="D187" s="1576">
        <x:v>2</x:v>
      </x:c>
      <x:c r="E187" s="1579">
        <x:v>336.47</x:v>
      </x:c>
      <x:c r="F187" s="819" t="n">
        <x:f>ROUND(D187*E187,2)</x:f>
        <x:v>672.94</x:v>
      </x:c>
      <x:c r="G187" s="1576">
        <x:v>0</x:v>
      </x:c>
      <x:c r="H187" s="832">
        <x:v>0</x:v>
      </x:c>
      <x:c r="I187" s="833" t="n">
        <x:f>G187+H187</x:f>
        <x:v>0</x:v>
      </x:c>
      <x:c r="J187" s="819">
        <x:v>0</x:v>
      </x:c>
      <x:c r="K187" s="819" t="n">
        <x:f>ROUND(H187*E187,2)</x:f>
        <x:v>0</x:v>
      </x:c>
      <x:c r="L187" s="819" t="n">
        <x:f>J187+K187</x:f>
        <x:v>0</x:v>
      </x:c>
      <x:c r="M187" s="840" t="n">
        <x:f>IF(D187=0,0,I187/D187)</x:f>
        <x:v>0</x:v>
      </x:c>
      <x:c r="N187" s="833" t="n">
        <x:f>D187-I187</x:f>
        <x:v>2</x:v>
      </x:c>
      <x:c r="O187" s="850" t="n">
        <x:f>F187-L187</x:f>
        <x:v>672.94</x:v>
      </x:c>
    </x:row>
    <x:row r="188" ht="23" customHeight="1">
      <x:c r="A188" s="792" t="s">
        <x:v>400</x:v>
      </x:c>
      <x:c r="B188" s="539" t="s">
        <x:v>401</x:v>
      </x:c>
      <x:c r="C188" s="539"/>
      <x:c r="D188" s="1859"/>
      <x:c r="E188" s="1860"/>
      <x:c r="F188" s="1860"/>
      <x:c r="G188" s="1859"/>
      <x:c r="H188" s="1859"/>
      <x:c r="I188" s="1859"/>
      <x:c r="J188" s="1860"/>
      <x:c r="K188" s="1860"/>
      <x:c r="L188" s="1860"/>
      <x:c r="M188" s="1861"/>
      <x:c r="N188" s="1859"/>
      <x:c r="O188" s="1862"/>
    </x:row>
    <x:row r="189" ht="43" customHeight="1">
      <x:c r="A189" s="1865" t="s">
        <x:v>402</x:v>
      </x:c>
      <x:c r="B189" s="1821" t="s">
        <x:v>403</x:v>
      </x:c>
      <x:c r="C189" s="1501" t="s">
        <x:v>65</x:v>
      </x:c>
      <x:c r="D189" s="1575">
        <x:v>1</x:v>
      </x:c>
      <x:c r="E189" s="1578">
        <x:v>1063.06</x:v>
      </x:c>
      <x:c r="F189" s="819" t="n">
        <x:f>ROUND(D189*E189,2)</x:f>
        <x:v>1063.06</x:v>
      </x:c>
      <x:c r="G189" s="1575">
        <x:v>0</x:v>
      </x:c>
      <x:c r="H189" s="832">
        <x:v>0</x:v>
      </x:c>
      <x:c r="I189" s="833" t="n">
        <x:f>G189+H189</x:f>
        <x:v>0</x:v>
      </x:c>
      <x:c r="J189" s="819">
        <x:v>0</x:v>
      </x:c>
      <x:c r="K189" s="819" t="n">
        <x:f>ROUND(H189*E189,2)</x:f>
        <x:v>0</x:v>
      </x:c>
      <x:c r="L189" s="819" t="n">
        <x:f>J189+K189</x:f>
        <x:v>0</x:v>
      </x:c>
      <x:c r="M189" s="840" t="n">
        <x:f>IF(D189=0,0,I189/D189)</x:f>
        <x:v>0</x:v>
      </x:c>
      <x:c r="N189" s="833" t="n">
        <x:f>D189-I189</x:f>
        <x:v>1</x:v>
      </x:c>
      <x:c r="O189" s="850" t="n">
        <x:f>F189-L189</x:f>
        <x:v>1063.06</x:v>
      </x:c>
    </x:row>
    <x:row r="190" ht="31" customHeight="1">
      <x:c r="A190" s="1866" t="s">
        <x:v>404</x:v>
      </x:c>
      <x:c r="B190" s="1823" t="s">
        <x:v>405</x:v>
      </x:c>
      <x:c r="C190" s="249" t="s">
        <x:v>73</x:v>
      </x:c>
      <x:c r="D190" s="1576">
        <x:v>4</x:v>
      </x:c>
      <x:c r="E190" s="1579">
        <x:v>134.99</x:v>
      </x:c>
      <x:c r="F190" s="819" t="n">
        <x:f>ROUND(D190*E190,2)</x:f>
        <x:v>539.96</x:v>
      </x:c>
      <x:c r="G190" s="1576">
        <x:v>0</x:v>
      </x:c>
      <x:c r="H190" s="832">
        <x:v>0</x:v>
      </x:c>
      <x:c r="I190" s="833" t="n">
        <x:f>G190+H190</x:f>
        <x:v>0</x:v>
      </x:c>
      <x:c r="J190" s="819">
        <x:v>0</x:v>
      </x:c>
      <x:c r="K190" s="819" t="n">
        <x:f>ROUND(H190*E190,2)</x:f>
        <x:v>0</x:v>
      </x:c>
      <x:c r="L190" s="819" t="n">
        <x:f>J190+K190</x:f>
        <x:v>0</x:v>
      </x:c>
      <x:c r="M190" s="840" t="n">
        <x:f>IF(D190=0,0,I190/D190)</x:f>
        <x:v>0</x:v>
      </x:c>
      <x:c r="N190" s="833" t="n">
        <x:f>D190-I190</x:f>
        <x:v>4</x:v>
      </x:c>
      <x:c r="O190" s="850" t="n">
        <x:f>F190-L190</x:f>
        <x:v>539.96</x:v>
      </x:c>
    </x:row>
    <x:row r="191" ht="43" customHeight="1">
      <x:c r="A191" s="1865" t="s">
        <x:v>406</x:v>
      </x:c>
      <x:c r="B191" s="1821" t="s">
        <x:v>407</x:v>
      </x:c>
      <x:c r="C191" s="1501" t="s">
        <x:v>73</x:v>
      </x:c>
      <x:c r="D191" s="1575">
        <x:v>8</x:v>
      </x:c>
      <x:c r="E191" s="1578">
        <x:v>7.69</x:v>
      </x:c>
      <x:c r="F191" s="819" t="n">
        <x:f>ROUND(D191*E191,2)</x:f>
        <x:v>61.52</x:v>
      </x:c>
      <x:c r="G191" s="1575">
        <x:v>0</x:v>
      </x:c>
      <x:c r="H191" s="832">
        <x:v>0</x:v>
      </x:c>
      <x:c r="I191" s="833" t="n">
        <x:f>G191+H191</x:f>
        <x:v>0</x:v>
      </x:c>
      <x:c r="J191" s="819">
        <x:v>0</x:v>
      </x:c>
      <x:c r="K191" s="819" t="n">
        <x:f>ROUND(H191*E191,2)</x:f>
        <x:v>0</x:v>
      </x:c>
      <x:c r="L191" s="819" t="n">
        <x:f>J191+K191</x:f>
        <x:v>0</x:v>
      </x:c>
      <x:c r="M191" s="840" t="n">
        <x:f>IF(D191=0,0,I191/D191)</x:f>
        <x:v>0</x:v>
      </x:c>
      <x:c r="N191" s="833" t="n">
        <x:f>D191-I191</x:f>
        <x:v>8</x:v>
      </x:c>
      <x:c r="O191" s="850" t="n">
        <x:f>F191-L191</x:f>
        <x:v>61.52</x:v>
      </x:c>
    </x:row>
    <x:row r="192" ht="31" customHeight="1">
      <x:c r="A192" s="1866" t="s">
        <x:v>408</x:v>
      </x:c>
      <x:c r="B192" s="1823" t="s">
        <x:v>409</x:v>
      </x:c>
      <x:c r="C192" s="249" t="s">
        <x:v>73</x:v>
      </x:c>
      <x:c r="D192" s="1576">
        <x:v>13</x:v>
      </x:c>
      <x:c r="E192" s="1579">
        <x:v>13.86</x:v>
      </x:c>
      <x:c r="F192" s="819" t="n">
        <x:f>ROUND(D192*E192,2)</x:f>
        <x:v>180.18</x:v>
      </x:c>
      <x:c r="G192" s="1576">
        <x:v>0</x:v>
      </x:c>
      <x:c r="H192" s="832">
        <x:v>0</x:v>
      </x:c>
      <x:c r="I192" s="833" t="n">
        <x:f>G192+H192</x:f>
        <x:v>0</x:v>
      </x:c>
      <x:c r="J192" s="819">
        <x:v>0</x:v>
      </x:c>
      <x:c r="K192" s="819" t="n">
        <x:f>ROUND(H192*E192,2)</x:f>
        <x:v>0</x:v>
      </x:c>
      <x:c r="L192" s="819" t="n">
        <x:f>J192+K192</x:f>
        <x:v>0</x:v>
      </x:c>
      <x:c r="M192" s="840" t="n">
        <x:f>IF(D192=0,0,I192/D192)</x:f>
        <x:v>0</x:v>
      </x:c>
      <x:c r="N192" s="833" t="n">
        <x:f>D192-I192</x:f>
        <x:v>13</x:v>
      </x:c>
      <x:c r="O192" s="850" t="n">
        <x:f>F192-L192</x:f>
        <x:v>180.18</x:v>
      </x:c>
    </x:row>
    <x:row r="193" ht="31" customHeight="1">
      <x:c r="A193" s="1865" t="s">
        <x:v>410</x:v>
      </x:c>
      <x:c r="B193" s="1821" t="s">
        <x:v>411</x:v>
      </x:c>
      <x:c r="C193" s="1501" t="s">
        <x:v>73</x:v>
      </x:c>
      <x:c r="D193" s="1575">
        <x:v>6</x:v>
      </x:c>
      <x:c r="E193" s="1578">
        <x:v>20.68</x:v>
      </x:c>
      <x:c r="F193" s="819" t="n">
        <x:f>ROUND(D193*E193,2)</x:f>
        <x:v>124.08</x:v>
      </x:c>
      <x:c r="G193" s="1575">
        <x:v>0</x:v>
      </x:c>
      <x:c r="H193" s="832">
        <x:v>0</x:v>
      </x:c>
      <x:c r="I193" s="833" t="n">
        <x:f>G193+H193</x:f>
        <x:v>0</x:v>
      </x:c>
      <x:c r="J193" s="819">
        <x:v>0</x:v>
      </x:c>
      <x:c r="K193" s="819" t="n">
        <x:f>ROUND(H193*E193,2)</x:f>
        <x:v>0</x:v>
      </x:c>
      <x:c r="L193" s="819" t="n">
        <x:f>J193+K193</x:f>
        <x:v>0</x:v>
      </x:c>
      <x:c r="M193" s="840" t="n">
        <x:f>IF(D193=0,0,I193/D193)</x:f>
        <x:v>0</x:v>
      </x:c>
      <x:c r="N193" s="833" t="n">
        <x:f>D193-I193</x:f>
        <x:v>6</x:v>
      </x:c>
      <x:c r="O193" s="850" t="n">
        <x:f>F193-L193</x:f>
        <x:v>124.08</x:v>
      </x:c>
    </x:row>
    <x:row r="194" ht="43" customHeight="1">
      <x:c r="A194" s="1866" t="s">
        <x:v>412</x:v>
      </x:c>
      <x:c r="B194" s="1823" t="s">
        <x:v>413</x:v>
      </x:c>
      <x:c r="C194" s="249" t="s">
        <x:v>73</x:v>
      </x:c>
      <x:c r="D194" s="1576">
        <x:v>11</x:v>
      </x:c>
      <x:c r="E194" s="1579">
        <x:v>12.31</x:v>
      </x:c>
      <x:c r="F194" s="819" t="n">
        <x:f>ROUND(D194*E194,2)</x:f>
        <x:v>135.41</x:v>
      </x:c>
      <x:c r="G194" s="1576">
        <x:v>0</x:v>
      </x:c>
      <x:c r="H194" s="832">
        <x:v>0</x:v>
      </x:c>
      <x:c r="I194" s="833" t="n">
        <x:f>G194+H194</x:f>
        <x:v>0</x:v>
      </x:c>
      <x:c r="J194" s="819">
        <x:v>0</x:v>
      </x:c>
      <x:c r="K194" s="819" t="n">
        <x:f>ROUND(H194*E194,2)</x:f>
        <x:v>0</x:v>
      </x:c>
      <x:c r="L194" s="819" t="n">
        <x:f>J194+K194</x:f>
        <x:v>0</x:v>
      </x:c>
      <x:c r="M194" s="840" t="n">
        <x:f>IF(D194=0,0,I194/D194)</x:f>
        <x:v>0</x:v>
      </x:c>
      <x:c r="N194" s="833" t="n">
        <x:f>D194-I194</x:f>
        <x:v>11</x:v>
      </x:c>
      <x:c r="O194" s="850" t="n">
        <x:f>F194-L194</x:f>
        <x:v>135.41</x:v>
      </x:c>
    </x:row>
    <x:row r="195" ht="43" customHeight="1">
      <x:c r="A195" s="1865" t="s">
        <x:v>414</x:v>
      </x:c>
      <x:c r="B195" s="1821" t="s">
        <x:v>415</x:v>
      </x:c>
      <x:c r="C195" s="1501" t="s">
        <x:v>73</x:v>
      </x:c>
      <x:c r="D195" s="1575">
        <x:v>3</x:v>
      </x:c>
      <x:c r="E195" s="1578">
        <x:v>12.69</x:v>
      </x:c>
      <x:c r="F195" s="819" t="n">
        <x:f>ROUND(D195*E195,2)</x:f>
        <x:v>38.07</x:v>
      </x:c>
      <x:c r="G195" s="1575">
        <x:v>0</x:v>
      </x:c>
      <x:c r="H195" s="832">
        <x:v>0</x:v>
      </x:c>
      <x:c r="I195" s="833" t="n">
        <x:f>G195+H195</x:f>
        <x:v>0</x:v>
      </x:c>
      <x:c r="J195" s="819">
        <x:v>0</x:v>
      </x:c>
      <x:c r="K195" s="819" t="n">
        <x:f>ROUND(H195*E195,2)</x:f>
        <x:v>0</x:v>
      </x:c>
      <x:c r="L195" s="819" t="n">
        <x:f>J195+K195</x:f>
        <x:v>0</x:v>
      </x:c>
      <x:c r="M195" s="840" t="n">
        <x:f>IF(D195=0,0,I195/D195)</x:f>
        <x:v>0</x:v>
      </x:c>
      <x:c r="N195" s="833" t="n">
        <x:f>D195-I195</x:f>
        <x:v>3</x:v>
      </x:c>
      <x:c r="O195" s="850" t="n">
        <x:f>F195-L195</x:f>
        <x:v>38.07</x:v>
      </x:c>
    </x:row>
    <x:row r="196" ht="31" customHeight="1">
      <x:c r="A196" s="1866" t="s">
        <x:v>416</x:v>
      </x:c>
      <x:c r="B196" s="1823" t="s">
        <x:v>417</x:v>
      </x:c>
      <x:c r="C196" s="249" t="s">
        <x:v>152</x:v>
      </x:c>
      <x:c r="D196" s="1576">
        <x:v>40</x:v>
      </x:c>
      <x:c r="E196" s="1579">
        <x:v>15.51</x:v>
      </x:c>
      <x:c r="F196" s="819" t="n">
        <x:f>ROUND(D196*E196,2)</x:f>
        <x:v>620.4</x:v>
      </x:c>
      <x:c r="G196" s="1576">
        <x:v>0</x:v>
      </x:c>
      <x:c r="H196" s="832">
        <x:v>0</x:v>
      </x:c>
      <x:c r="I196" s="833" t="n">
        <x:f>G196+H196</x:f>
        <x:v>0</x:v>
      </x:c>
      <x:c r="J196" s="819">
        <x:v>0</x:v>
      </x:c>
      <x:c r="K196" s="819" t="n">
        <x:f>ROUND(H196*E196,2)</x:f>
        <x:v>0</x:v>
      </x:c>
      <x:c r="L196" s="819" t="n">
        <x:f>J196+K196</x:f>
        <x:v>0</x:v>
      </x:c>
      <x:c r="M196" s="840" t="n">
        <x:f>IF(D196=0,0,I196/D196)</x:f>
        <x:v>0</x:v>
      </x:c>
      <x:c r="N196" s="833" t="n">
        <x:f>D196-I196</x:f>
        <x:v>40</x:v>
      </x:c>
      <x:c r="O196" s="850" t="n">
        <x:f>F196-L196</x:f>
        <x:v>620.4</x:v>
      </x:c>
    </x:row>
    <x:row r="197" ht="31" customHeight="1">
      <x:c r="A197" s="1865" t="s">
        <x:v>418</x:v>
      </x:c>
      <x:c r="B197" s="1821" t="s">
        <x:v>419</x:v>
      </x:c>
      <x:c r="C197" s="1501" t="s">
        <x:v>152</x:v>
      </x:c>
      <x:c r="D197" s="1575">
        <x:v>95</x:v>
      </x:c>
      <x:c r="E197" s="1578">
        <x:v>24.15</x:v>
      </x:c>
      <x:c r="F197" s="819" t="n">
        <x:f>ROUND(D197*E197,2)</x:f>
        <x:v>2294.25</x:v>
      </x:c>
      <x:c r="G197" s="1575">
        <x:v>0</x:v>
      </x:c>
      <x:c r="H197" s="832">
        <x:v>0</x:v>
      </x:c>
      <x:c r="I197" s="833" t="n">
        <x:f>G197+H197</x:f>
        <x:v>0</x:v>
      </x:c>
      <x:c r="J197" s="819">
        <x:v>0</x:v>
      </x:c>
      <x:c r="K197" s="819" t="n">
        <x:f>ROUND(H197*E197,2)</x:f>
        <x:v>0</x:v>
      </x:c>
      <x:c r="L197" s="819" t="n">
        <x:f>J197+K197</x:f>
        <x:v>0</x:v>
      </x:c>
      <x:c r="M197" s="840" t="n">
        <x:f>IF(D197=0,0,I197/D197)</x:f>
        <x:v>0</x:v>
      </x:c>
      <x:c r="N197" s="833" t="n">
        <x:f>D197-I197</x:f>
        <x:v>95</x:v>
      </x:c>
      <x:c r="O197" s="850" t="n">
        <x:f>F197-L197</x:f>
        <x:v>2294.25</x:v>
      </x:c>
    </x:row>
    <x:row r="198" ht="31" customHeight="1">
      <x:c r="A198" s="1866" t="s">
        <x:v>420</x:v>
      </x:c>
      <x:c r="B198" s="1823" t="s">
        <x:v>421</x:v>
      </x:c>
      <x:c r="C198" s="249" t="s">
        <x:v>73</x:v>
      </x:c>
      <x:c r="D198" s="1576">
        <x:v>3</x:v>
      </x:c>
      <x:c r="E198" s="1579">
        <x:v>13.15</x:v>
      </x:c>
      <x:c r="F198" s="819" t="n">
        <x:f>ROUND(D198*E198,2)</x:f>
        <x:v>39.45</x:v>
      </x:c>
      <x:c r="G198" s="1576">
        <x:v>0</x:v>
      </x:c>
      <x:c r="H198" s="832">
        <x:v>0</x:v>
      </x:c>
      <x:c r="I198" s="833" t="n">
        <x:f>G198+H198</x:f>
        <x:v>0</x:v>
      </x:c>
      <x:c r="J198" s="819">
        <x:v>0</x:v>
      </x:c>
      <x:c r="K198" s="819" t="n">
        <x:f>ROUND(H198*E198,2)</x:f>
        <x:v>0</x:v>
      </x:c>
      <x:c r="L198" s="819" t="n">
        <x:f>J198+K198</x:f>
        <x:v>0</x:v>
      </x:c>
      <x:c r="M198" s="840" t="n">
        <x:f>IF(D198=0,0,I198/D198)</x:f>
        <x:v>0</x:v>
      </x:c>
      <x:c r="N198" s="833" t="n">
        <x:f>D198-I198</x:f>
        <x:v>3</x:v>
      </x:c>
      <x:c r="O198" s="850" t="n">
        <x:f>F198-L198</x:f>
        <x:v>39.45</x:v>
      </x:c>
    </x:row>
    <x:row r="199" ht="31" customHeight="1">
      <x:c r="A199" s="1865" t="s">
        <x:v>422</x:v>
      </x:c>
      <x:c r="B199" s="1821" t="s">
        <x:v>423</x:v>
      </x:c>
      <x:c r="C199" s="1501" t="s">
        <x:v>73</x:v>
      </x:c>
      <x:c r="D199" s="1575">
        <x:v>6</x:v>
      </x:c>
      <x:c r="E199" s="1578">
        <x:v>15.03</x:v>
      </x:c>
      <x:c r="F199" s="819" t="n">
        <x:f>ROUND(D199*E199,2)</x:f>
        <x:v>90.18</x:v>
      </x:c>
      <x:c r="G199" s="1575">
        <x:v>0</x:v>
      </x:c>
      <x:c r="H199" s="832">
        <x:v>0</x:v>
      </x:c>
      <x:c r="I199" s="833" t="n">
        <x:f>G199+H199</x:f>
        <x:v>0</x:v>
      </x:c>
      <x:c r="J199" s="819">
        <x:v>0</x:v>
      </x:c>
      <x:c r="K199" s="819" t="n">
        <x:f>ROUND(H199*E199,2)</x:f>
        <x:v>0</x:v>
      </x:c>
      <x:c r="L199" s="819" t="n">
        <x:f>J199+K199</x:f>
        <x:v>0</x:v>
      </x:c>
      <x:c r="M199" s="840" t="n">
        <x:f>IF(D199=0,0,I199/D199)</x:f>
        <x:v>0</x:v>
      </x:c>
      <x:c r="N199" s="833" t="n">
        <x:f>D199-I199</x:f>
        <x:v>6</x:v>
      </x:c>
      <x:c r="O199" s="850" t="n">
        <x:f>F199-L199</x:f>
        <x:v>90.18</x:v>
      </x:c>
    </x:row>
    <x:row r="200" ht="31" customHeight="1">
      <x:c r="A200" s="1866" t="s">
        <x:v>424</x:v>
      </x:c>
      <x:c r="B200" s="1823" t="s">
        <x:v>425</x:v>
      </x:c>
      <x:c r="C200" s="249" t="s">
        <x:v>73</x:v>
      </x:c>
      <x:c r="D200" s="1576">
        <x:v>9</x:v>
      </x:c>
      <x:c r="E200" s="1579">
        <x:v>21.45</x:v>
      </x:c>
      <x:c r="F200" s="819" t="n">
        <x:f>ROUND(D200*E200,2)</x:f>
        <x:v>193.05</x:v>
      </x:c>
      <x:c r="G200" s="1576">
        <x:v>0</x:v>
      </x:c>
      <x:c r="H200" s="832">
        <x:v>0</x:v>
      </x:c>
      <x:c r="I200" s="833" t="n">
        <x:f>G200+H200</x:f>
        <x:v>0</x:v>
      </x:c>
      <x:c r="J200" s="819">
        <x:v>0</x:v>
      </x:c>
      <x:c r="K200" s="819" t="n">
        <x:f>ROUND(H200*E200,2)</x:f>
        <x:v>0</x:v>
      </x:c>
      <x:c r="L200" s="819" t="n">
        <x:f>J200+K200</x:f>
        <x:v>0</x:v>
      </x:c>
      <x:c r="M200" s="840" t="n">
        <x:f>IF(D200=0,0,I200/D200)</x:f>
        <x:v>0</x:v>
      </x:c>
      <x:c r="N200" s="833" t="n">
        <x:f>D200-I200</x:f>
        <x:v>9</x:v>
      </x:c>
      <x:c r="O200" s="850" t="n">
        <x:f>F200-L200</x:f>
        <x:v>193.05</x:v>
      </x:c>
    </x:row>
    <x:row r="201" ht="43" customHeight="1">
      <x:c r="A201" s="1865" t="s">
        <x:v>426</x:v>
      </x:c>
      <x:c r="B201" s="1821" t="s">
        <x:v>427</x:v>
      </x:c>
      <x:c r="C201" s="1501" t="s">
        <x:v>73</x:v>
      </x:c>
      <x:c r="D201" s="1575">
        <x:v>9</x:v>
      </x:c>
      <x:c r="E201" s="1578">
        <x:v>9.21</x:v>
      </x:c>
      <x:c r="F201" s="819" t="n">
        <x:f>ROUND(D201*E201,2)</x:f>
        <x:v>82.89</x:v>
      </x:c>
      <x:c r="G201" s="1575">
        <x:v>0</x:v>
      </x:c>
      <x:c r="H201" s="832">
        <x:v>0</x:v>
      </x:c>
      <x:c r="I201" s="833" t="n">
        <x:f>G201+H201</x:f>
        <x:v>0</x:v>
      </x:c>
      <x:c r="J201" s="819">
        <x:v>0</x:v>
      </x:c>
      <x:c r="K201" s="819" t="n">
        <x:f>ROUND(H201*E201,2)</x:f>
        <x:v>0</x:v>
      </x:c>
      <x:c r="L201" s="819" t="n">
        <x:f>J201+K201</x:f>
        <x:v>0</x:v>
      </x:c>
      <x:c r="M201" s="840" t="n">
        <x:f>IF(D201=0,0,I201/D201)</x:f>
        <x:v>0</x:v>
      </x:c>
      <x:c r="N201" s="833" t="n">
        <x:f>D201-I201</x:f>
        <x:v>9</x:v>
      </x:c>
      <x:c r="O201" s="850" t="n">
        <x:f>F201-L201</x:f>
        <x:v>82.89</x:v>
      </x:c>
    </x:row>
    <x:row r="202" ht="31" customHeight="1">
      <x:c r="A202" s="1866" t="s">
        <x:v>428</x:v>
      </x:c>
      <x:c r="B202" s="1823" t="s">
        <x:v>429</x:v>
      </x:c>
      <x:c r="C202" s="249" t="s">
        <x:v>73</x:v>
      </x:c>
      <x:c r="D202" s="1576">
        <x:v>3</x:v>
      </x:c>
      <x:c r="E202" s="1579">
        <x:v>11.44</x:v>
      </x:c>
      <x:c r="F202" s="819" t="n">
        <x:f>ROUND(D202*E202,2)</x:f>
        <x:v>34.32</x:v>
      </x:c>
      <x:c r="G202" s="1576">
        <x:v>0</x:v>
      </x:c>
      <x:c r="H202" s="832">
        <x:v>0</x:v>
      </x:c>
      <x:c r="I202" s="833" t="n">
        <x:f>G202+H202</x:f>
        <x:v>0</x:v>
      </x:c>
      <x:c r="J202" s="819">
        <x:v>0</x:v>
      </x:c>
      <x:c r="K202" s="819" t="n">
        <x:f>ROUND(H202*E202,2)</x:f>
        <x:v>0</x:v>
      </x:c>
      <x:c r="L202" s="819" t="n">
        <x:f>J202+K202</x:f>
        <x:v>0</x:v>
      </x:c>
      <x:c r="M202" s="840" t="n">
        <x:f>IF(D202=0,0,I202/D202)</x:f>
        <x:v>0</x:v>
      </x:c>
      <x:c r="N202" s="833" t="n">
        <x:f>D202-I202</x:f>
        <x:v>3</x:v>
      </x:c>
      <x:c r="O202" s="850" t="n">
        <x:f>F202-L202</x:f>
        <x:v>34.32</x:v>
      </x:c>
    </x:row>
    <x:row r="203" ht="43" customHeight="1">
      <x:c r="A203" s="1865" t="s">
        <x:v>430</x:v>
      </x:c>
      <x:c r="B203" s="1821" t="s">
        <x:v>431</x:v>
      </x:c>
      <x:c r="C203" s="1501" t="s">
        <x:v>73</x:v>
      </x:c>
      <x:c r="D203" s="1575">
        <x:v>4</x:v>
      </x:c>
      <x:c r="E203" s="1578">
        <x:v>20.79</x:v>
      </x:c>
      <x:c r="F203" s="819" t="n">
        <x:f>ROUND(D203*E203,2)</x:f>
        <x:v>83.16</x:v>
      </x:c>
      <x:c r="G203" s="1575">
        <x:v>0</x:v>
      </x:c>
      <x:c r="H203" s="832">
        <x:v>0</x:v>
      </x:c>
      <x:c r="I203" s="833" t="n">
        <x:f>G203+H203</x:f>
        <x:v>0</x:v>
      </x:c>
      <x:c r="J203" s="819">
        <x:v>0</x:v>
      </x:c>
      <x:c r="K203" s="819" t="n">
        <x:f>ROUND(H203*E203,2)</x:f>
        <x:v>0</x:v>
      </x:c>
      <x:c r="L203" s="819" t="n">
        <x:f>J203+K203</x:f>
        <x:v>0</x:v>
      </x:c>
      <x:c r="M203" s="840" t="n">
        <x:f>IF(D203=0,0,I203/D203)</x:f>
        <x:v>0</x:v>
      </x:c>
      <x:c r="N203" s="833" t="n">
        <x:f>D203-I203</x:f>
        <x:v>4</x:v>
      </x:c>
      <x:c r="O203" s="850" t="n">
        <x:f>F203-L203</x:f>
        <x:v>83.16</x:v>
      </x:c>
    </x:row>
    <x:row r="204" ht="43" customHeight="1">
      <x:c r="A204" s="1866" t="s">
        <x:v>432</x:v>
      </x:c>
      <x:c r="B204" s="1823" t="s">
        <x:v>433</x:v>
      </x:c>
      <x:c r="C204" s="249" t="s">
        <x:v>73</x:v>
      </x:c>
      <x:c r="D204" s="1576">
        <x:v>6</x:v>
      </x:c>
      <x:c r="E204" s="1579">
        <x:v>16.52</x:v>
      </x:c>
      <x:c r="F204" s="819" t="n">
        <x:f>ROUND(D204*E204,2)</x:f>
        <x:v>99.12</x:v>
      </x:c>
      <x:c r="G204" s="1576">
        <x:v>0</x:v>
      </x:c>
      <x:c r="H204" s="832">
        <x:v>0</x:v>
      </x:c>
      <x:c r="I204" s="833" t="n">
        <x:f>G204+H204</x:f>
        <x:v>0</x:v>
      </x:c>
      <x:c r="J204" s="819">
        <x:v>0</x:v>
      </x:c>
      <x:c r="K204" s="819" t="n">
        <x:f>ROUND(H204*E204,2)</x:f>
        <x:v>0</x:v>
      </x:c>
      <x:c r="L204" s="819" t="n">
        <x:f>J204+K204</x:f>
        <x:v>0</x:v>
      </x:c>
      <x:c r="M204" s="840" t="n">
        <x:f>IF(D204=0,0,I204/D204)</x:f>
        <x:v>0</x:v>
      </x:c>
      <x:c r="N204" s="833" t="n">
        <x:f>D204-I204</x:f>
        <x:v>6</x:v>
      </x:c>
      <x:c r="O204" s="850" t="n">
        <x:f>F204-L204</x:f>
        <x:v>99.12</x:v>
      </x:c>
    </x:row>
    <x:row r="205" ht="23" customHeight="1">
      <x:c r="A205" s="774" t="s">
        <x:v>434</x:v>
      </x:c>
      <x:c r="B205" s="515" t="s">
        <x:v>435</x:v>
      </x:c>
      <x:c r="C205" s="515"/>
      <x:c r="D205" s="1855"/>
      <x:c r="E205" s="1856"/>
      <x:c r="F205" s="1856"/>
      <x:c r="G205" s="1855"/>
      <x:c r="H205" s="1855"/>
      <x:c r="I205" s="1855"/>
      <x:c r="J205" s="1856"/>
      <x:c r="K205" s="1856"/>
      <x:c r="L205" s="1856"/>
      <x:c r="M205" s="1857"/>
      <x:c r="N205" s="1855"/>
      <x:c r="O205" s="1858"/>
    </x:row>
    <x:row r="206" ht="23" customHeight="1">
      <x:c r="A206" s="792" t="s">
        <x:v>436</x:v>
      </x:c>
      <x:c r="B206" s="539" t="s">
        <x:v>437</x:v>
      </x:c>
      <x:c r="C206" s="539"/>
      <x:c r="D206" s="1859"/>
      <x:c r="E206" s="1860"/>
      <x:c r="F206" s="1860"/>
      <x:c r="G206" s="1859"/>
      <x:c r="H206" s="1859"/>
      <x:c r="I206" s="1859"/>
      <x:c r="J206" s="1860"/>
      <x:c r="K206" s="1860"/>
      <x:c r="L206" s="1860"/>
      <x:c r="M206" s="1861"/>
      <x:c r="N206" s="1859"/>
      <x:c r="O206" s="1862"/>
    </x:row>
    <x:row r="207" ht="31" customHeight="1">
      <x:c r="A207" s="1865" t="s">
        <x:v>438</x:v>
      </x:c>
      <x:c r="B207" s="1821" t="s">
        <x:v>439</x:v>
      </x:c>
      <x:c r="C207" s="1501" t="s">
        <x:v>65</x:v>
      </x:c>
      <x:c r="D207" s="1575">
        <x:v>5.23</x:v>
      </x:c>
      <x:c r="E207" s="1578">
        <x:v>112.47</x:v>
      </x:c>
      <x:c r="F207" s="819" t="n">
        <x:f>ROUND(D207*E207,2)</x:f>
        <x:v>588.22</x:v>
      </x:c>
      <x:c r="G207" s="1575">
        <x:v>0</x:v>
      </x:c>
      <x:c r="H207" s="832">
        <x:v>0</x:v>
      </x:c>
      <x:c r="I207" s="833" t="n">
        <x:f>G207+H207</x:f>
        <x:v>0</x:v>
      </x:c>
      <x:c r="J207" s="819">
        <x:v>0</x:v>
      </x:c>
      <x:c r="K207" s="819" t="n">
        <x:f>ROUND(H207*E207,2)</x:f>
        <x:v>0</x:v>
      </x:c>
      <x:c r="L207" s="819" t="n">
        <x:f>J207+K207</x:f>
        <x:v>0</x:v>
      </x:c>
      <x:c r="M207" s="840" t="n">
        <x:f>IF(D207=0,0,I207/D207)</x:f>
        <x:v>0</x:v>
      </x:c>
      <x:c r="N207" s="833" t="n">
        <x:f>D207-I207</x:f>
        <x:v>5.23</x:v>
      </x:c>
      <x:c r="O207" s="850" t="n">
        <x:f>F207-L207</x:f>
        <x:v>588.22</x:v>
      </x:c>
    </x:row>
    <x:row r="208" ht="43" customHeight="1">
      <x:c r="A208" s="1866" t="s">
        <x:v>440</x:v>
      </x:c>
      <x:c r="B208" s="1823" t="s">
        <x:v>441</x:v>
      </x:c>
      <x:c r="C208" s="249" t="s">
        <x:v>62</x:v>
      </x:c>
      <x:c r="D208" s="1576">
        <x:v>0.85</x:v>
      </x:c>
      <x:c r="E208" s="1579">
        <x:v>773.06</x:v>
      </x:c>
      <x:c r="F208" s="819" t="n">
        <x:f>ROUND(D208*E208,2)</x:f>
        <x:v>657.1</x:v>
      </x:c>
      <x:c r="G208" s="1576">
        <x:v>0</x:v>
      </x:c>
      <x:c r="H208" s="832">
        <x:v>0</x:v>
      </x:c>
      <x:c r="I208" s="833" t="n">
        <x:f>G208+H208</x:f>
        <x:v>0</x:v>
      </x:c>
      <x:c r="J208" s="819">
        <x:v>0</x:v>
      </x:c>
      <x:c r="K208" s="819" t="n">
        <x:f>ROUND(H208*E208,2)</x:f>
        <x:v>0</x:v>
      </x:c>
      <x:c r="L208" s="819" t="n">
        <x:f>J208+K208</x:f>
        <x:v>0</x:v>
      </x:c>
      <x:c r="M208" s="840" t="n">
        <x:f>IF(D208=0,0,I208/D208)</x:f>
        <x:v>0</x:v>
      </x:c>
      <x:c r="N208" s="833" t="n">
        <x:f>D208-I208</x:f>
        <x:v>0.85</x:v>
      </x:c>
      <x:c r="O208" s="850" t="n">
        <x:f>F208-L208</x:f>
        <x:v>657.1</x:v>
      </x:c>
    </x:row>
    <x:row r="209" ht="31" customHeight="1">
      <x:c r="A209" s="1865" t="s">
        <x:v>442</x:v>
      </x:c>
      <x:c r="B209" s="1821" t="s">
        <x:v>443</x:v>
      </x:c>
      <x:c r="C209" s="1501" t="s">
        <x:v>62</x:v>
      </x:c>
      <x:c r="D209" s="1575">
        <x:v>0.85</x:v>
      </x:c>
      <x:c r="E209" s="1578">
        <x:v>364.3</x:v>
      </x:c>
      <x:c r="F209" s="819" t="n">
        <x:f>ROUND(D209*E209,2)</x:f>
        <x:v>309.66</x:v>
      </x:c>
      <x:c r="G209" s="1575">
        <x:v>0</x:v>
      </x:c>
      <x:c r="H209" s="832">
        <x:v>0</x:v>
      </x:c>
      <x:c r="I209" s="833" t="n">
        <x:f>G209+H209</x:f>
        <x:v>0</x:v>
      </x:c>
      <x:c r="J209" s="819">
        <x:v>0</x:v>
      </x:c>
      <x:c r="K209" s="819" t="n">
        <x:f>ROUND(H209*E209,2)</x:f>
        <x:v>0</x:v>
      </x:c>
      <x:c r="L209" s="819" t="n">
        <x:f>J209+K209</x:f>
        <x:v>0</x:v>
      </x:c>
      <x:c r="M209" s="840" t="n">
        <x:f>IF(D209=0,0,I209/D209)</x:f>
        <x:v>0</x:v>
      </x:c>
      <x:c r="N209" s="833" t="n">
        <x:f>D209-I209</x:f>
        <x:v>0.85</x:v>
      </x:c>
      <x:c r="O209" s="850" t="n">
        <x:f>F209-L209</x:f>
        <x:v>309.66</x:v>
      </x:c>
    </x:row>
    <x:row r="210" ht="31" customHeight="1">
      <x:c r="A210" s="1866" t="s">
        <x:v>444</x:v>
      </x:c>
      <x:c r="B210" s="1823" t="s">
        <x:v>445</x:v>
      </x:c>
      <x:c r="C210" s="249" t="s">
        <x:v>446</x:v>
      </x:c>
      <x:c r="D210" s="1576">
        <x:v>53.22</x:v>
      </x:c>
      <x:c r="E210" s="1579">
        <x:v>14.85</x:v>
      </x:c>
      <x:c r="F210" s="819" t="n">
        <x:f>ROUND(D210*E210,2)</x:f>
        <x:v>790.32</x:v>
      </x:c>
      <x:c r="G210" s="1576">
        <x:v>0</x:v>
      </x:c>
      <x:c r="H210" s="832">
        <x:v>0</x:v>
      </x:c>
      <x:c r="I210" s="833" t="n">
        <x:f>G210+H210</x:f>
        <x:v>0</x:v>
      </x:c>
      <x:c r="J210" s="819">
        <x:v>0</x:v>
      </x:c>
      <x:c r="K210" s="819" t="n">
        <x:f>ROUND(H210*E210,2)</x:f>
        <x:v>0</x:v>
      </x:c>
      <x:c r="L210" s="819" t="n">
        <x:f>J210+K210</x:f>
        <x:v>0</x:v>
      </x:c>
      <x:c r="M210" s="840" t="n">
        <x:f>IF(D210=0,0,I210/D210)</x:f>
        <x:v>0</x:v>
      </x:c>
      <x:c r="N210" s="833" t="n">
        <x:f>D210-I210</x:f>
        <x:v>53.22</x:v>
      </x:c>
      <x:c r="O210" s="850" t="n">
        <x:f>F210-L210</x:f>
        <x:v>790.32</x:v>
      </x:c>
    </x:row>
    <x:row r="211" ht="31" customHeight="1">
      <x:c r="A211" s="1865" t="s">
        <x:v>447</x:v>
      </x:c>
      <x:c r="B211" s="1821" t="s">
        <x:v>448</x:v>
      </x:c>
      <x:c r="C211" s="1501" t="s">
        <x:v>446</x:v>
      </x:c>
      <x:c r="D211" s="1575">
        <x:v>5.2</x:v>
      </x:c>
      <x:c r="E211" s="1578">
        <x:v>19.61</x:v>
      </x:c>
      <x:c r="F211" s="819" t="n">
        <x:f>ROUND(D211*E211,2)</x:f>
        <x:v>101.97</x:v>
      </x:c>
      <x:c r="G211" s="1575">
        <x:v>0</x:v>
      </x:c>
      <x:c r="H211" s="832">
        <x:v>0</x:v>
      </x:c>
      <x:c r="I211" s="833" t="n">
        <x:f>G211+H211</x:f>
        <x:v>0</x:v>
      </x:c>
      <x:c r="J211" s="819">
        <x:v>0</x:v>
      </x:c>
      <x:c r="K211" s="819" t="n">
        <x:f>ROUND(H211*E211,2)</x:f>
        <x:v>0</x:v>
      </x:c>
      <x:c r="L211" s="819" t="n">
        <x:f>J211+K211</x:f>
        <x:v>0</x:v>
      </x:c>
      <x:c r="M211" s="840" t="n">
        <x:f>IF(D211=0,0,I211/D211)</x:f>
        <x:v>0</x:v>
      </x:c>
      <x:c r="N211" s="833" t="n">
        <x:f>D211-I211</x:f>
        <x:v>5.2</x:v>
      </x:c>
      <x:c r="O211" s="850" t="n">
        <x:f>F211-L211</x:f>
        <x:v>101.97</x:v>
      </x:c>
    </x:row>
    <x:row r="212" ht="23" customHeight="1">
      <x:c r="A212" s="792" t="s">
        <x:v>449</x:v>
      </x:c>
      <x:c r="B212" s="539" t="s">
        <x:v>450</x:v>
      </x:c>
      <x:c r="C212" s="539"/>
      <x:c r="D212" s="1859"/>
      <x:c r="E212" s="1860"/>
      <x:c r="F212" s="1860"/>
      <x:c r="G212" s="1859"/>
      <x:c r="H212" s="1859"/>
      <x:c r="I212" s="1859"/>
      <x:c r="J212" s="1860"/>
      <x:c r="K212" s="1860"/>
      <x:c r="L212" s="1860"/>
      <x:c r="M212" s="1861"/>
      <x:c r="N212" s="1859"/>
      <x:c r="O212" s="1862"/>
    </x:row>
    <x:row r="213" ht="43" customHeight="1">
      <x:c r="A213" s="1866" t="s">
        <x:v>451</x:v>
      </x:c>
      <x:c r="B213" s="1823" t="s">
        <x:v>452</x:v>
      </x:c>
      <x:c r="C213" s="249" t="s">
        <x:v>65</x:v>
      </x:c>
      <x:c r="D213" s="1576">
        <x:v>8.08</x:v>
      </x:c>
      <x:c r="E213" s="1579">
        <x:v>113.16</x:v>
      </x:c>
      <x:c r="F213" s="819" t="n">
        <x:f>ROUND(D213*E213,2)</x:f>
        <x:v>914.33</x:v>
      </x:c>
      <x:c r="G213" s="1576">
        <x:v>0</x:v>
      </x:c>
      <x:c r="H213" s="832">
        <x:v>0</x:v>
      </x:c>
      <x:c r="I213" s="833" t="n">
        <x:f>G213+H213</x:f>
        <x:v>0</x:v>
      </x:c>
      <x:c r="J213" s="819">
        <x:v>0</x:v>
      </x:c>
      <x:c r="K213" s="819" t="n">
        <x:f>ROUND(H213*E213,2)</x:f>
        <x:v>0</x:v>
      </x:c>
      <x:c r="L213" s="819" t="n">
        <x:f>J213+K213</x:f>
        <x:v>0</x:v>
      </x:c>
      <x:c r="M213" s="840" t="n">
        <x:f>IF(D213=0,0,I213/D213)</x:f>
        <x:v>0</x:v>
      </x:c>
      <x:c r="N213" s="833" t="n">
        <x:f>D213-I213</x:f>
        <x:v>8.08</x:v>
      </x:c>
      <x:c r="O213" s="850" t="n">
        <x:f>F213-L213</x:f>
        <x:v>914.33</x:v>
      </x:c>
    </x:row>
    <x:row r="214" ht="43" customHeight="1">
      <x:c r="A214" s="1865" t="s">
        <x:v>453</x:v>
      </x:c>
      <x:c r="B214" s="1821" t="s">
        <x:v>454</x:v>
      </x:c>
      <x:c r="C214" s="1501" t="s">
        <x:v>62</x:v>
      </x:c>
      <x:c r="D214" s="1575">
        <x:v>0.46</x:v>
      </x:c>
      <x:c r="E214" s="1578">
        <x:v>773.06</x:v>
      </x:c>
      <x:c r="F214" s="819" t="n">
        <x:f>ROUND(D214*E214,2)</x:f>
        <x:v>355.61</x:v>
      </x:c>
      <x:c r="G214" s="1575">
        <x:v>0</x:v>
      </x:c>
      <x:c r="H214" s="832">
        <x:v>0</x:v>
      </x:c>
      <x:c r="I214" s="833" t="n">
        <x:f>G214+H214</x:f>
        <x:v>0</x:v>
      </x:c>
      <x:c r="J214" s="819">
        <x:v>0</x:v>
      </x:c>
      <x:c r="K214" s="819" t="n">
        <x:f>ROUND(H214*E214,2)</x:f>
        <x:v>0</x:v>
      </x:c>
      <x:c r="L214" s="819" t="n">
        <x:f>J214+K214</x:f>
        <x:v>0</x:v>
      </x:c>
      <x:c r="M214" s="840" t="n">
        <x:f>IF(D214=0,0,I214/D214)</x:f>
        <x:v>0</x:v>
      </x:c>
      <x:c r="N214" s="833" t="n">
        <x:f>D214-I214</x:f>
        <x:v>0.46</x:v>
      </x:c>
      <x:c r="O214" s="850" t="n">
        <x:f>F214-L214</x:f>
        <x:v>355.61</x:v>
      </x:c>
    </x:row>
    <x:row r="215" ht="31" customHeight="1">
      <x:c r="A215" s="1866" t="s">
        <x:v>455</x:v>
      </x:c>
      <x:c r="B215" s="1823" t="s">
        <x:v>443</x:v>
      </x:c>
      <x:c r="C215" s="249" t="s">
        <x:v>62</x:v>
      </x:c>
      <x:c r="D215" s="1576">
        <x:v>0.46</x:v>
      </x:c>
      <x:c r="E215" s="1579">
        <x:v>364.3</x:v>
      </x:c>
      <x:c r="F215" s="819" t="n">
        <x:f>ROUND(D215*E215,2)</x:f>
        <x:v>167.58</x:v>
      </x:c>
      <x:c r="G215" s="1576">
        <x:v>0</x:v>
      </x:c>
      <x:c r="H215" s="832">
        <x:v>0</x:v>
      </x:c>
      <x:c r="I215" s="833" t="n">
        <x:f>G215+H215</x:f>
        <x:v>0</x:v>
      </x:c>
      <x:c r="J215" s="819">
        <x:v>0</x:v>
      </x:c>
      <x:c r="K215" s="819" t="n">
        <x:f>ROUND(H215*E215,2)</x:f>
        <x:v>0</x:v>
      </x:c>
      <x:c r="L215" s="819" t="n">
        <x:f>J215+K215</x:f>
        <x:v>0</x:v>
      </x:c>
      <x:c r="M215" s="840" t="n">
        <x:f>IF(D215=0,0,I215/D215)</x:f>
        <x:v>0</x:v>
      </x:c>
      <x:c r="N215" s="833" t="n">
        <x:f>D215-I215</x:f>
        <x:v>0.46</x:v>
      </x:c>
      <x:c r="O215" s="850" t="n">
        <x:f>F215-L215</x:f>
        <x:v>167.58</x:v>
      </x:c>
    </x:row>
    <x:row r="216" ht="43" customHeight="1">
      <x:c r="A216" s="1865" t="s">
        <x:v>456</x:v>
      </x:c>
      <x:c r="B216" s="1821" t="s">
        <x:v>457</x:v>
      </x:c>
      <x:c r="C216" s="1501" t="s">
        <x:v>446</x:v>
      </x:c>
      <x:c r="D216" s="1575">
        <x:v>33</x:v>
      </x:c>
      <x:c r="E216" s="1578">
        <x:v>12.81</x:v>
      </x:c>
      <x:c r="F216" s="819" t="n">
        <x:f>ROUND(D216*E216,2)</x:f>
        <x:v>422.73</x:v>
      </x:c>
      <x:c r="G216" s="1575">
        <x:v>0</x:v>
      </x:c>
      <x:c r="H216" s="832">
        <x:v>0</x:v>
      </x:c>
      <x:c r="I216" s="833" t="n">
        <x:f>G216+H216</x:f>
        <x:v>0</x:v>
      </x:c>
      <x:c r="J216" s="819">
        <x:v>0</x:v>
      </x:c>
      <x:c r="K216" s="819" t="n">
        <x:f>ROUND(H216*E216,2)</x:f>
        <x:v>0</x:v>
      </x:c>
      <x:c r="L216" s="819" t="n">
        <x:f>J216+K216</x:f>
        <x:v>0</x:v>
      </x:c>
      <x:c r="M216" s="840" t="n">
        <x:f>IF(D216=0,0,I216/D216)</x:f>
        <x:v>0</x:v>
      </x:c>
      <x:c r="N216" s="833" t="n">
        <x:f>D216-I216</x:f>
        <x:v>33</x:v>
      </x:c>
      <x:c r="O216" s="850" t="n">
        <x:f>F216-L216</x:f>
        <x:v>422.73</x:v>
      </x:c>
    </x:row>
    <x:row r="217" ht="43" customHeight="1">
      <x:c r="A217" s="1866" t="s">
        <x:v>458</x:v>
      </x:c>
      <x:c r="B217" s="1823" t="s">
        <x:v>459</x:v>
      </x:c>
      <x:c r="C217" s="249" t="s">
        <x:v>446</x:v>
      </x:c>
      <x:c r="D217" s="1576">
        <x:v>9.6</x:v>
      </x:c>
      <x:c r="E217" s="1579">
        <x:v>16.41</x:v>
      </x:c>
      <x:c r="F217" s="819" t="n">
        <x:f>ROUND(D217*E217,2)</x:f>
        <x:v>157.54</x:v>
      </x:c>
      <x:c r="G217" s="1576">
        <x:v>0</x:v>
      </x:c>
      <x:c r="H217" s="832">
        <x:v>0</x:v>
      </x:c>
      <x:c r="I217" s="833" t="n">
        <x:f>G217+H217</x:f>
        <x:v>0</x:v>
      </x:c>
      <x:c r="J217" s="819">
        <x:v>0</x:v>
      </x:c>
      <x:c r="K217" s="819" t="n">
        <x:f>ROUND(H217*E217,2)</x:f>
        <x:v>0</x:v>
      </x:c>
      <x:c r="L217" s="819" t="n">
        <x:f>J217+K217</x:f>
        <x:v>0</x:v>
      </x:c>
      <x:c r="M217" s="840" t="n">
        <x:f>IF(D217=0,0,I217/D217)</x:f>
        <x:v>0</x:v>
      </x:c>
      <x:c r="N217" s="833" t="n">
        <x:f>D217-I217</x:f>
        <x:v>9.6</x:v>
      </x:c>
      <x:c r="O217" s="850" t="n">
        <x:f>F217-L217</x:f>
        <x:v>157.54</x:v>
      </x:c>
    </x:row>
    <x:row r="218" ht="23" customHeight="1">
      <x:c r="A218" s="792" t="s">
        <x:v>460</x:v>
      </x:c>
      <x:c r="B218" s="539" t="s">
        <x:v>461</x:v>
      </x:c>
      <x:c r="C218" s="539"/>
      <x:c r="D218" s="1859"/>
      <x:c r="E218" s="1860"/>
      <x:c r="F218" s="1860"/>
      <x:c r="G218" s="1859"/>
      <x:c r="H218" s="1859"/>
      <x:c r="I218" s="1859"/>
      <x:c r="J218" s="1860"/>
      <x:c r="K218" s="1860"/>
      <x:c r="L218" s="1860"/>
      <x:c r="M218" s="1861"/>
      <x:c r="N218" s="1859"/>
      <x:c r="O218" s="1862"/>
    </x:row>
    <x:row r="219" ht="43" customHeight="1">
      <x:c r="A219" s="1865" t="s">
        <x:v>462</x:v>
      </x:c>
      <x:c r="B219" s="1821" t="s">
        <x:v>452</x:v>
      </x:c>
      <x:c r="C219" s="1501" t="s">
        <x:v>65</x:v>
      </x:c>
      <x:c r="D219" s="1575">
        <x:v>8.03</x:v>
      </x:c>
      <x:c r="E219" s="1578">
        <x:v>113.16</x:v>
      </x:c>
      <x:c r="F219" s="819" t="n">
        <x:f>ROUND(D219*E219,2)</x:f>
        <x:v>908.67</x:v>
      </x:c>
      <x:c r="G219" s="1575">
        <x:v>0</x:v>
      </x:c>
      <x:c r="H219" s="832">
        <x:v>0</x:v>
      </x:c>
      <x:c r="I219" s="833" t="n">
        <x:f>G219+H219</x:f>
        <x:v>0</x:v>
      </x:c>
      <x:c r="J219" s="819">
        <x:v>0</x:v>
      </x:c>
      <x:c r="K219" s="819" t="n">
        <x:f>ROUND(H219*E219,2)</x:f>
        <x:v>0</x:v>
      </x:c>
      <x:c r="L219" s="819" t="n">
        <x:f>J219+K219</x:f>
        <x:v>0</x:v>
      </x:c>
      <x:c r="M219" s="840" t="n">
        <x:f>IF(D219=0,0,I219/D219)</x:f>
        <x:v>0</x:v>
      </x:c>
      <x:c r="N219" s="833" t="n">
        <x:f>D219-I219</x:f>
        <x:v>8.03</x:v>
      </x:c>
      <x:c r="O219" s="850" t="n">
        <x:f>F219-L219</x:f>
        <x:v>908.67</x:v>
      </x:c>
    </x:row>
    <x:row r="220" ht="43" customHeight="1">
      <x:c r="A220" s="1866" t="s">
        <x:v>463</x:v>
      </x:c>
      <x:c r="B220" s="1823" t="s">
        <x:v>441</x:v>
      </x:c>
      <x:c r="C220" s="249" t="s">
        <x:v>62</x:v>
      </x:c>
      <x:c r="D220" s="1576">
        <x:v>0.46</x:v>
      </x:c>
      <x:c r="E220" s="1579">
        <x:v>773.06</x:v>
      </x:c>
      <x:c r="F220" s="819" t="n">
        <x:f>ROUND(D220*E220,2)</x:f>
        <x:v>355.61</x:v>
      </x:c>
      <x:c r="G220" s="1576">
        <x:v>0</x:v>
      </x:c>
      <x:c r="H220" s="832">
        <x:v>0</x:v>
      </x:c>
      <x:c r="I220" s="833" t="n">
        <x:f>G220+H220</x:f>
        <x:v>0</x:v>
      </x:c>
      <x:c r="J220" s="819">
        <x:v>0</x:v>
      </x:c>
      <x:c r="K220" s="819" t="n">
        <x:f>ROUND(H220*E220,2)</x:f>
        <x:v>0</x:v>
      </x:c>
      <x:c r="L220" s="819" t="n">
        <x:f>J220+K220</x:f>
        <x:v>0</x:v>
      </x:c>
      <x:c r="M220" s="840" t="n">
        <x:f>IF(D220=0,0,I220/D220)</x:f>
        <x:v>0</x:v>
      </x:c>
      <x:c r="N220" s="833" t="n">
        <x:f>D220-I220</x:f>
        <x:v>0.46</x:v>
      </x:c>
      <x:c r="O220" s="850" t="n">
        <x:f>F220-L220</x:f>
        <x:v>355.61</x:v>
      </x:c>
    </x:row>
    <x:row r="221" ht="31" customHeight="1">
      <x:c r="A221" s="1865" t="s">
        <x:v>464</x:v>
      </x:c>
      <x:c r="B221" s="1821" t="s">
        <x:v>443</x:v>
      </x:c>
      <x:c r="C221" s="1501" t="s">
        <x:v>62</x:v>
      </x:c>
      <x:c r="D221" s="1575">
        <x:v>0.46</x:v>
      </x:c>
      <x:c r="E221" s="1578">
        <x:v>364.3</x:v>
      </x:c>
      <x:c r="F221" s="819" t="n">
        <x:f>ROUND(D221*E221,2)</x:f>
        <x:v>167.58</x:v>
      </x:c>
      <x:c r="G221" s="1575">
        <x:v>0</x:v>
      </x:c>
      <x:c r="H221" s="832">
        <x:v>0</x:v>
      </x:c>
      <x:c r="I221" s="833" t="n">
        <x:f>G221+H221</x:f>
        <x:v>0</x:v>
      </x:c>
      <x:c r="J221" s="819">
        <x:v>0</x:v>
      </x:c>
      <x:c r="K221" s="819" t="n">
        <x:f>ROUND(H221*E221,2)</x:f>
        <x:v>0</x:v>
      </x:c>
      <x:c r="L221" s="819" t="n">
        <x:f>J221+K221</x:f>
        <x:v>0</x:v>
      </x:c>
      <x:c r="M221" s="840" t="n">
        <x:f>IF(D221=0,0,I221/D221)</x:f>
        <x:v>0</x:v>
      </x:c>
      <x:c r="N221" s="833" t="n">
        <x:f>D221-I221</x:f>
        <x:v>0.46</x:v>
      </x:c>
      <x:c r="O221" s="850" t="n">
        <x:f>F221-L221</x:f>
        <x:v>167.58</x:v>
      </x:c>
    </x:row>
    <x:row r="222" ht="43" customHeight="1">
      <x:c r="A222" s="1866" t="s">
        <x:v>465</x:v>
      </x:c>
      <x:c r="B222" s="1823" t="s">
        <x:v>457</x:v>
      </x:c>
      <x:c r="C222" s="249" t="s">
        <x:v>446</x:v>
      </x:c>
      <x:c r="D222" s="1576">
        <x:v>33</x:v>
      </x:c>
      <x:c r="E222" s="1579">
        <x:v>12.81</x:v>
      </x:c>
      <x:c r="F222" s="819" t="n">
        <x:f>ROUND(D222*E222,2)</x:f>
        <x:v>422.73</x:v>
      </x:c>
      <x:c r="G222" s="1576">
        <x:v>0</x:v>
      </x:c>
      <x:c r="H222" s="832">
        <x:v>0</x:v>
      </x:c>
      <x:c r="I222" s="833" t="n">
        <x:f>G222+H222</x:f>
        <x:v>0</x:v>
      </x:c>
      <x:c r="J222" s="819">
        <x:v>0</x:v>
      </x:c>
      <x:c r="K222" s="819" t="n">
        <x:f>ROUND(H222*E222,2)</x:f>
        <x:v>0</x:v>
      </x:c>
      <x:c r="L222" s="819" t="n">
        <x:f>J222+K222</x:f>
        <x:v>0</x:v>
      </x:c>
      <x:c r="M222" s="840" t="n">
        <x:f>IF(D222=0,0,I222/D222)</x:f>
        <x:v>0</x:v>
      </x:c>
      <x:c r="N222" s="833" t="n">
        <x:f>D222-I222</x:f>
        <x:v>33</x:v>
      </x:c>
      <x:c r="O222" s="850" t="n">
        <x:f>F222-L222</x:f>
        <x:v>422.73</x:v>
      </x:c>
    </x:row>
    <x:row r="223" ht="43" customHeight="1">
      <x:c r="A223" s="1865" t="s">
        <x:v>466</x:v>
      </x:c>
      <x:c r="B223" s="1821" t="s">
        <x:v>459</x:v>
      </x:c>
      <x:c r="C223" s="1501" t="s">
        <x:v>446</x:v>
      </x:c>
      <x:c r="D223" s="1575">
        <x:v>9.5</x:v>
      </x:c>
      <x:c r="E223" s="1578">
        <x:v>16.41</x:v>
      </x:c>
      <x:c r="F223" s="819" t="n">
        <x:f>ROUND(D223*E223,2)</x:f>
        <x:v>155.9</x:v>
      </x:c>
      <x:c r="G223" s="1575">
        <x:v>0</x:v>
      </x:c>
      <x:c r="H223" s="832">
        <x:v>0</x:v>
      </x:c>
      <x:c r="I223" s="833" t="n">
        <x:f>G223+H223</x:f>
        <x:v>0</x:v>
      </x:c>
      <x:c r="J223" s="819">
        <x:v>0</x:v>
      </x:c>
      <x:c r="K223" s="819" t="n">
        <x:f>ROUND(H223*E223,2)</x:f>
        <x:v>0</x:v>
      </x:c>
      <x:c r="L223" s="819" t="n">
        <x:f>J223+K223</x:f>
        <x:v>0</x:v>
      </x:c>
      <x:c r="M223" s="840" t="n">
        <x:f>IF(D223=0,0,I223/D223)</x:f>
        <x:v>0</x:v>
      </x:c>
      <x:c r="N223" s="833" t="n">
        <x:f>D223-I223</x:f>
        <x:v>9.5</x:v>
      </x:c>
      <x:c r="O223" s="850" t="n">
        <x:f>F223-L223</x:f>
        <x:v>155.9</x:v>
      </x:c>
    </x:row>
    <x:row r="224" ht="23" customHeight="1">
      <x:c r="A224" s="792" t="s">
        <x:v>467</x:v>
      </x:c>
      <x:c r="B224" s="539" t="s">
        <x:v>468</x:v>
      </x:c>
      <x:c r="C224" s="539"/>
      <x:c r="D224" s="1859"/>
      <x:c r="E224" s="1860"/>
      <x:c r="F224" s="1860"/>
      <x:c r="G224" s="1859"/>
      <x:c r="H224" s="1859"/>
      <x:c r="I224" s="1859"/>
      <x:c r="J224" s="1860"/>
      <x:c r="K224" s="1860"/>
      <x:c r="L224" s="1860"/>
      <x:c r="M224" s="1861"/>
      <x:c r="N224" s="1859"/>
      <x:c r="O224" s="1862"/>
    </x:row>
    <x:row r="225" ht="31" customHeight="1">
      <x:c r="A225" s="1866" t="s">
        <x:v>469</x:v>
      </x:c>
      <x:c r="B225" s="1823" t="s">
        <x:v>470</x:v>
      </x:c>
      <x:c r="C225" s="249" t="s">
        <x:v>65</x:v>
      </x:c>
      <x:c r="D225" s="1576">
        <x:v>8.44</x:v>
      </x:c>
      <x:c r="E225" s="1579">
        <x:v>136.12</x:v>
      </x:c>
      <x:c r="F225" s="819" t="n">
        <x:f>ROUND(D225*E225,2)</x:f>
        <x:v>1148.85</x:v>
      </x:c>
      <x:c r="G225" s="1576">
        <x:v>0</x:v>
      </x:c>
      <x:c r="H225" s="832">
        <x:v>0</x:v>
      </x:c>
      <x:c r="I225" s="833" t="n">
        <x:f>G225+H225</x:f>
        <x:v>0</x:v>
      </x:c>
      <x:c r="J225" s="819">
        <x:v>0</x:v>
      </x:c>
      <x:c r="K225" s="819" t="n">
        <x:f>ROUND(H225*E225,2)</x:f>
        <x:v>0</x:v>
      </x:c>
      <x:c r="L225" s="819" t="n">
        <x:f>J225+K225</x:f>
        <x:v>0</x:v>
      </x:c>
      <x:c r="M225" s="840" t="n">
        <x:f>IF(D225=0,0,I225/D225)</x:f>
        <x:v>0</x:v>
      </x:c>
      <x:c r="N225" s="833" t="n">
        <x:f>D225-I225</x:f>
        <x:v>8.44</x:v>
      </x:c>
      <x:c r="O225" s="850" t="n">
        <x:f>F225-L225</x:f>
        <x:v>1148.85</x:v>
      </x:c>
    </x:row>
    <x:row r="226" ht="43" customHeight="1">
      <x:c r="A226" s="1865" t="s">
        <x:v>471</x:v>
      </x:c>
      <x:c r="B226" s="1821" t="s">
        <x:v>454</x:v>
      </x:c>
      <x:c r="C226" s="1501" t="s">
        <x:v>62</x:v>
      </x:c>
      <x:c r="D226" s="1575">
        <x:v>0.53</x:v>
      </x:c>
      <x:c r="E226" s="1578">
        <x:v>773.06</x:v>
      </x:c>
      <x:c r="F226" s="819" t="n">
        <x:f>ROUND(D226*E226,2)</x:f>
        <x:v>409.72</x:v>
      </x:c>
      <x:c r="G226" s="1575">
        <x:v>0</x:v>
      </x:c>
      <x:c r="H226" s="832">
        <x:v>0</x:v>
      </x:c>
      <x:c r="I226" s="833" t="n">
        <x:f>G226+H226</x:f>
        <x:v>0</x:v>
      </x:c>
      <x:c r="J226" s="819">
        <x:v>0</x:v>
      </x:c>
      <x:c r="K226" s="819" t="n">
        <x:f>ROUND(H226*E226,2)</x:f>
        <x:v>0</x:v>
      </x:c>
      <x:c r="L226" s="819" t="n">
        <x:f>J226+K226</x:f>
        <x:v>0</x:v>
      </x:c>
      <x:c r="M226" s="840" t="n">
        <x:f>IF(D226=0,0,I226/D226)</x:f>
        <x:v>0</x:v>
      </x:c>
      <x:c r="N226" s="833" t="n">
        <x:f>D226-I226</x:f>
        <x:v>0.53</x:v>
      </x:c>
      <x:c r="O226" s="850" t="n">
        <x:f>F226-L226</x:f>
        <x:v>409.72</x:v>
      </x:c>
    </x:row>
    <x:row r="227" ht="31" customHeight="1">
      <x:c r="A227" s="1866" t="s">
        <x:v>472</x:v>
      </x:c>
      <x:c r="B227" s="1823" t="s">
        <x:v>443</x:v>
      </x:c>
      <x:c r="C227" s="249" t="s">
        <x:v>62</x:v>
      </x:c>
      <x:c r="D227" s="1576">
        <x:v>0.53</x:v>
      </x:c>
      <x:c r="E227" s="1579">
        <x:v>364.3</x:v>
      </x:c>
      <x:c r="F227" s="819" t="n">
        <x:f>ROUND(D227*E227,2)</x:f>
        <x:v>193.08</x:v>
      </x:c>
      <x:c r="G227" s="1576">
        <x:v>0</x:v>
      </x:c>
      <x:c r="H227" s="832">
        <x:v>0</x:v>
      </x:c>
      <x:c r="I227" s="833" t="n">
        <x:f>G227+H227</x:f>
        <x:v>0</x:v>
      </x:c>
      <x:c r="J227" s="819">
        <x:v>0</x:v>
      </x:c>
      <x:c r="K227" s="819" t="n">
        <x:f>ROUND(H227*E227,2)</x:f>
        <x:v>0</x:v>
      </x:c>
      <x:c r="L227" s="819" t="n">
        <x:f>J227+K227</x:f>
        <x:v>0</x:v>
      </x:c>
      <x:c r="M227" s="840" t="n">
        <x:f>IF(D227=0,0,I227/D227)</x:f>
        <x:v>0</x:v>
      </x:c>
      <x:c r="N227" s="833" t="n">
        <x:f>D227-I227</x:f>
        <x:v>0.53</x:v>
      </x:c>
      <x:c r="O227" s="850" t="n">
        <x:f>F227-L227</x:f>
        <x:v>193.08</x:v>
      </x:c>
    </x:row>
    <x:row r="228" ht="31" customHeight="1">
      <x:c r="A228" s="1865" t="s">
        <x:v>473</x:v>
      </x:c>
      <x:c r="B228" s="1821" t="s">
        <x:v>474</x:v>
      </x:c>
      <x:c r="C228" s="1501" t="s">
        <x:v>446</x:v>
      </x:c>
      <x:c r="D228" s="1575">
        <x:v>29.25</x:v>
      </x:c>
      <x:c r="E228" s="1578">
        <x:v>12.81</x:v>
      </x:c>
      <x:c r="F228" s="819" t="n">
        <x:f>ROUND(D228*E228,2)</x:f>
        <x:v>374.69</x:v>
      </x:c>
      <x:c r="G228" s="1575">
        <x:v>0</x:v>
      </x:c>
      <x:c r="H228" s="832">
        <x:v>0</x:v>
      </x:c>
      <x:c r="I228" s="833" t="n">
        <x:f>G228+H228</x:f>
        <x:v>0</x:v>
      </x:c>
      <x:c r="J228" s="819">
        <x:v>0</x:v>
      </x:c>
      <x:c r="K228" s="819" t="n">
        <x:f>ROUND(H228*E228,2)</x:f>
        <x:v>0</x:v>
      </x:c>
      <x:c r="L228" s="819" t="n">
        <x:f>J228+K228</x:f>
        <x:v>0</x:v>
      </x:c>
      <x:c r="M228" s="840" t="n">
        <x:f>IF(D228=0,0,I228/D228)</x:f>
        <x:v>0</x:v>
      </x:c>
      <x:c r="N228" s="833" t="n">
        <x:f>D228-I228</x:f>
        <x:v>29.25</x:v>
      </x:c>
      <x:c r="O228" s="850" t="n">
        <x:f>F228-L228</x:f>
        <x:v>374.69</x:v>
      </x:c>
    </x:row>
    <x:row r="229" ht="43" customHeight="1">
      <x:c r="A229" s="1866" t="s">
        <x:v>475</x:v>
      </x:c>
      <x:c r="B229" s="1823" t="s">
        <x:v>459</x:v>
      </x:c>
      <x:c r="C229" s="249" t="s">
        <x:v>446</x:v>
      </x:c>
      <x:c r="D229" s="1576">
        <x:v>11.55</x:v>
      </x:c>
      <x:c r="E229" s="1579">
        <x:v>16.41</x:v>
      </x:c>
      <x:c r="F229" s="819" t="n">
        <x:f>ROUND(D229*E229,2)</x:f>
        <x:v>189.54</x:v>
      </x:c>
      <x:c r="G229" s="1576">
        <x:v>0</x:v>
      </x:c>
      <x:c r="H229" s="832">
        <x:v>0</x:v>
      </x:c>
      <x:c r="I229" s="833" t="n">
        <x:f>G229+H229</x:f>
        <x:v>0</x:v>
      </x:c>
      <x:c r="J229" s="819">
        <x:v>0</x:v>
      </x:c>
      <x:c r="K229" s="819" t="n">
        <x:f>ROUND(H229*E229,2)</x:f>
        <x:v>0</x:v>
      </x:c>
      <x:c r="L229" s="819" t="n">
        <x:f>J229+K229</x:f>
        <x:v>0</x:v>
      </x:c>
      <x:c r="M229" s="840" t="n">
        <x:f>IF(D229=0,0,I229/D229)</x:f>
        <x:v>0</x:v>
      </x:c>
      <x:c r="N229" s="833" t="n">
        <x:f>D229-I229</x:f>
        <x:v>11.55</x:v>
      </x:c>
      <x:c r="O229" s="850" t="n">
        <x:f>F229-L229</x:f>
        <x:v>189.54</x:v>
      </x:c>
    </x:row>
    <x:row r="230" ht="23" customHeight="1">
      <x:c r="A230" s="774" t="s">
        <x:v>476</x:v>
      </x:c>
      <x:c r="B230" s="515" t="s">
        <x:v>477</x:v>
      </x:c>
      <x:c r="C230" s="515"/>
      <x:c r="D230" s="1855"/>
      <x:c r="E230" s="1856"/>
      <x:c r="F230" s="1856"/>
      <x:c r="G230" s="1855"/>
      <x:c r="H230" s="1855"/>
      <x:c r="I230" s="1855"/>
      <x:c r="J230" s="1856"/>
      <x:c r="K230" s="1856"/>
      <x:c r="L230" s="1856"/>
      <x:c r="M230" s="1857"/>
      <x:c r="N230" s="1855"/>
      <x:c r="O230" s="1858"/>
    </x:row>
    <x:row r="231" ht="43" customHeight="1">
      <x:c r="A231" s="1865" t="s">
        <x:v>478</x:v>
      </x:c>
      <x:c r="B231" s="1821" t="s">
        <x:v>479</x:v>
      </x:c>
      <x:c r="C231" s="1501" t="s">
        <x:v>73</x:v>
      </x:c>
      <x:c r="D231" s="1575">
        <x:v>19</x:v>
      </x:c>
      <x:c r="E231" s="1578">
        <x:v>34.49</x:v>
      </x:c>
      <x:c r="F231" s="819" t="n">
        <x:f>ROUND(D231*E231,2)</x:f>
        <x:v>655.31</x:v>
      </x:c>
      <x:c r="G231" s="1575">
        <x:v>0</x:v>
      </x:c>
      <x:c r="H231" s="832">
        <x:v>0</x:v>
      </x:c>
      <x:c r="I231" s="833" t="n">
        <x:f>G231+H231</x:f>
        <x:v>0</x:v>
      </x:c>
      <x:c r="J231" s="819">
        <x:v>0</x:v>
      </x:c>
      <x:c r="K231" s="819" t="n">
        <x:f>ROUND(H231*E231,2)</x:f>
        <x:v>0</x:v>
      </x:c>
      <x:c r="L231" s="819" t="n">
        <x:f>J231+K231</x:f>
        <x:v>0</x:v>
      </x:c>
      <x:c r="M231" s="840" t="n">
        <x:f>IF(D231=0,0,I231/D231)</x:f>
        <x:v>0</x:v>
      </x:c>
      <x:c r="N231" s="833" t="n">
        <x:f>D231-I231</x:f>
        <x:v>19</x:v>
      </x:c>
      <x:c r="O231" s="850" t="n">
        <x:f>F231-L231</x:f>
        <x:v>655.31</x:v>
      </x:c>
    </x:row>
    <x:row r="232" ht="24" customHeight="1">
      <x:c r="A232" s="1866" t="s">
        <x:v>480</x:v>
      </x:c>
      <x:c r="B232" s="1823" t="s">
        <x:v>481</x:v>
      </x:c>
      <x:c r="C232" s="249" t="s">
        <x:v>73</x:v>
      </x:c>
      <x:c r="D232" s="1576">
        <x:v>7</x:v>
      </x:c>
      <x:c r="E232" s="1579">
        <x:v>219.12</x:v>
      </x:c>
      <x:c r="F232" s="819" t="n">
        <x:f>ROUND(D232*E232,2)</x:f>
        <x:v>1533.84</x:v>
      </x:c>
      <x:c r="G232" s="1576">
        <x:v>0</x:v>
      </x:c>
      <x:c r="H232" s="832">
        <x:v>0</x:v>
      </x:c>
      <x:c r="I232" s="833" t="n">
        <x:f>G232+H232</x:f>
        <x:v>0</x:v>
      </x:c>
      <x:c r="J232" s="819">
        <x:v>0</x:v>
      </x:c>
      <x:c r="K232" s="819" t="n">
        <x:f>ROUND(H232*E232,2)</x:f>
        <x:v>0</x:v>
      </x:c>
      <x:c r="L232" s="819" t="n">
        <x:f>J232+K232</x:f>
        <x:v>0</x:v>
      </x:c>
      <x:c r="M232" s="840" t="n">
        <x:f>IF(D232=0,0,I232/D232)</x:f>
        <x:v>0</x:v>
      </x:c>
      <x:c r="N232" s="833" t="n">
        <x:f>D232-I232</x:f>
        <x:v>7</x:v>
      </x:c>
      <x:c r="O232" s="850" t="n">
        <x:f>F232-L232</x:f>
        <x:v>1533.84</x:v>
      </x:c>
    </x:row>
    <x:row r="233" ht="31" customHeight="1">
      <x:c r="A233" s="1865" t="s">
        <x:v>482</x:v>
      </x:c>
      <x:c r="B233" s="1821" t="s">
        <x:v>483</x:v>
      </x:c>
      <x:c r="C233" s="1501" t="s">
        <x:v>73</x:v>
      </x:c>
      <x:c r="D233" s="1575">
        <x:v>7</x:v>
      </x:c>
      <x:c r="E233" s="1578">
        <x:v>18.75</x:v>
      </x:c>
      <x:c r="F233" s="819" t="n">
        <x:f>ROUND(D233*E233,2)</x:f>
        <x:v>131.25</x:v>
      </x:c>
      <x:c r="G233" s="1575">
        <x:v>0</x:v>
      </x:c>
      <x:c r="H233" s="832">
        <x:v>0</x:v>
      </x:c>
      <x:c r="I233" s="833" t="n">
        <x:f>G233+H233</x:f>
        <x:v>0</x:v>
      </x:c>
      <x:c r="J233" s="819">
        <x:v>0</x:v>
      </x:c>
      <x:c r="K233" s="819" t="n">
        <x:f>ROUND(H233*E233,2)</x:f>
        <x:v>0</x:v>
      </x:c>
      <x:c r="L233" s="819" t="n">
        <x:f>J233+K233</x:f>
        <x:v>0</x:v>
      </x:c>
      <x:c r="M233" s="840" t="n">
        <x:f>IF(D233=0,0,I233/D233)</x:f>
        <x:v>0</x:v>
      </x:c>
      <x:c r="N233" s="833" t="n">
        <x:f>D233-I233</x:f>
        <x:v>7</x:v>
      </x:c>
      <x:c r="O233" s="850" t="n">
        <x:f>F233-L233</x:f>
        <x:v>131.25</x:v>
      </x:c>
    </x:row>
    <x:row r="234" ht="24" customHeight="1">
      <x:c r="A234" s="1866" t="s">
        <x:v>484</x:v>
      </x:c>
      <x:c r="B234" s="1823" t="s">
        <x:v>485</x:v>
      </x:c>
      <x:c r="C234" s="249" t="s">
        <x:v>73</x:v>
      </x:c>
      <x:c r="D234" s="1576">
        <x:v>7</x:v>
      </x:c>
      <x:c r="E234" s="1579">
        <x:v>337.57</x:v>
      </x:c>
      <x:c r="F234" s="819" t="n">
        <x:f>ROUND(D234*E234,2)</x:f>
        <x:v>2362.99</x:v>
      </x:c>
      <x:c r="G234" s="1576">
        <x:v>0</x:v>
      </x:c>
      <x:c r="H234" s="832">
        <x:v>0</x:v>
      </x:c>
      <x:c r="I234" s="833" t="n">
        <x:f>G234+H234</x:f>
        <x:v>0</x:v>
      </x:c>
      <x:c r="J234" s="819">
        <x:v>0</x:v>
      </x:c>
      <x:c r="K234" s="819" t="n">
        <x:f>ROUND(H234*E234,2)</x:f>
        <x:v>0</x:v>
      </x:c>
      <x:c r="L234" s="819" t="n">
        <x:f>J234+K234</x:f>
        <x:v>0</x:v>
      </x:c>
      <x:c r="M234" s="840" t="n">
        <x:f>IF(D234=0,0,I234/D234)</x:f>
        <x:v>0</x:v>
      </x:c>
      <x:c r="N234" s="833" t="n">
        <x:f>D234-I234</x:f>
        <x:v>7</x:v>
      </x:c>
      <x:c r="O234" s="850" t="n">
        <x:f>F234-L234</x:f>
        <x:v>2362.99</x:v>
      </x:c>
    </x:row>
    <x:row r="235" ht="31" customHeight="1">
      <x:c r="A235" s="1867" t="s">
        <x:v>486</x:v>
      </x:c>
      <x:c r="B235" s="1829" t="s">
        <x:v>487</x:v>
      </x:c>
      <x:c r="C235" s="1514" t="s">
        <x:v>73</x:v>
      </x:c>
      <x:c r="D235" s="1577">
        <x:v>6</x:v>
      </x:c>
      <x:c r="E235" s="1580">
        <x:v>19.66</x:v>
      </x:c>
      <x:c r="F235" s="823" t="n">
        <x:f>ROUND(D235*E235,2)</x:f>
        <x:v>117.96</x:v>
      </x:c>
      <x:c r="G235" s="1577">
        <x:v>0</x:v>
      </x:c>
      <x:c r="H235" s="832">
        <x:v>0</x:v>
      </x:c>
      <x:c r="I235" s="834" t="n">
        <x:f>G235+H235</x:f>
        <x:v>0</x:v>
      </x:c>
      <x:c r="J235" s="823">
        <x:v>0</x:v>
      </x:c>
      <x:c r="K235" s="823" t="n">
        <x:f>ROUND(H235*E235,2)</x:f>
        <x:v>0</x:v>
      </x:c>
      <x:c r="L235" s="823" t="n">
        <x:f>J235+K235</x:f>
        <x:v>0</x:v>
      </x:c>
      <x:c r="M235" s="842" t="n">
        <x:f>IF(D235=0,0,I235/D235)</x:f>
        <x:v>0</x:v>
      </x:c>
      <x:c r="N235" s="834" t="n">
        <x:f>D235-I235</x:f>
        <x:v>6</x:v>
      </x:c>
      <x:c r="O235" s="852" t="n">
        <x:f>F235-L235</x:f>
        <x:v>117.96</x:v>
      </x:c>
    </x:row>
    <x:row r="236" ht="24" customHeight="1">
      <x:c r="A236" s="1831" t="s">
        <x:v>511</x:v>
      </x:c>
      <x:c r="B236" s="1832"/>
      <x:c r="C236" s="1832"/>
      <x:c r="D236" s="1832"/>
      <x:c r="E236" s="1832"/>
      <x:c r="F236" s="1833" t="n">
        <x:f>SUM(F4:F235)</x:f>
        <x:v>236950.9999999997</x:v>
      </x:c>
      <x:c r="G236" s="1832"/>
      <x:c r="H236" s="1832"/>
      <x:c r="I236" s="1832"/>
      <x:c r="J236" s="1833" t="n">
        <x:f>SUM(J4:J235)</x:f>
        <x:v>0</x:v>
      </x:c>
      <x:c r="K236" s="1833" t="n">
        <x:f>SUM(K4:K235)</x:f>
        <x:v>0</x:v>
      </x:c>
      <x:c r="L236" s="1833" t="n">
        <x:f>SUM(L4:L235)</x:f>
        <x:v>0</x:v>
      </x:c>
      <x:c r="M236" s="1863" t="n">
        <x:f>IF(F236=0,0,L236/F236)</x:f>
        <x:v>0</x:v>
      </x:c>
      <x:c r="N236" s="1832"/>
      <x:c r="O236" s="1864" t="n">
        <x:f>F236-L236</x:f>
        <x:v>236950.9999999997</x:v>
      </x:c>
    </x:row>
  </x:sheetData>
  <x:mergeCells>
    <x:mergeCell ref="A1:O1"/>
    <x:mergeCell ref="A3:O3"/>
    <x:mergeCell ref="A236:E236"/>
  </x:mergeCells>
  <x:conditionalFormatting sqref="M4:M235">
    <x:cfRule type="dataBar" priority="1">
      <x:dataBar>
        <x:cfvo type="min"/>
        <x:cfvo type="max"/>
        <x:color rgb="FF2F7D5A"/>
      </x:dataBar>
      <x:extLst>
        <x:ext xmlns:x14="http://schemas.microsoft.com/office/spreadsheetml/2009/9/main" uri="{B025F937-C7B1-47D3-B67F-A62EFF666E3E}">
          <x14:id>{792A54E9-5155-2F77-2456-B426EC6B7233}</x14:id>
        </x:ext>
      </x:extLst>
    </x:cfRule>
  </x:conditionalFormatting>
  <x:conditionalFormatting sqref="H4:H235">
    <x:cfRule type="expression" dxfId="1" priority="2">
      <x:formula>H4&gt;MAX(0,D4-G4)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92A54E9-5155-2F77-2456-B426EC6B7233}">
            <x14:dataBar gradient="1">
              <x14:cfvo type="min"/>
              <x14:cfvo type="max"/>
              <x14:fillColor rgb="FF2F7D5A"/>
            </x14:dataBar>
          </x14:cfRule>
          <xm:sqref>M4:M235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4" hidden="0" customWidth="1"/>
    <x:col min="3" max="3" width="7" hidden="0" customWidth="1"/>
    <x:col min="4" max="7" width="14" customWidth="1"/>
    <x:col min="8" max="9" width="18" customWidth="1"/>
    <x:col min="4" max="4" width="13" hidden="0" customWidth="1"/>
    <x:col min="5" max="5" width="15" hidden="0" customWidth="1"/>
    <x:col min="6" max="6" width="13" hidden="0" customWidth="1"/>
    <x:col min="7" max="7" width="13" hidden="0" customWidth="1"/>
    <x:col min="8" max="8" width="16" hidden="0" customWidth="1"/>
    <x:col min="9" max="9" width="16" hidden="0" customWidth="1"/>
  </x:cols>
  <x:sheetData>
    <x:row r="1" ht="29" customHeight="1">
      <x:c r="A1" s="1849" t="s">
        <x:v>512</x:v>
      </x:c>
      <x:c r="B1" s="1849"/>
      <x:c r="C1" s="1849"/>
      <x:c r="D1" s="1849"/>
      <x:c r="E1" s="1849"/>
      <x:c r="F1" s="1849"/>
      <x:c r="G1" s="1849"/>
      <x:c r="H1" s="1849"/>
      <x:c r="I1" s="1849"/>
    </x:row>
    <x:row r="2" ht="28" customHeight="1">
      <x:c r="A2" s="374" t="s">
        <x:v>37</x:v>
      </x:c>
      <x:c r="B2" s="375" t="s">
        <x:v>38</x:v>
      </x:c>
      <x:c r="C2" s="375" t="s">
        <x:v>39</x:v>
      </x:c>
      <x:c r="D2" s="375" t="s">
        <x:v>500</x:v>
      </x:c>
      <x:c r="E2" s="375" t="s">
        <x:v>513</x:v>
      </x:c>
      <x:c r="F2" s="375" t="s">
        <x:v>502</x:v>
      </x:c>
      <x:c r="G2" s="375" t="s">
        <x:v>503</x:v>
      </x:c>
      <x:c r="H2" s="375" t="s">
        <x:v>514</x:v>
      </x:c>
      <x:c r="I2" s="376" t="s">
        <x:v>515</x:v>
      </x:c>
    </x:row>
    <x:row r="3" ht="2" customHeight="1">
      <x:c r="A3" s="1850"/>
      <x:c r="B3" s="1850"/>
      <x:c r="C3" s="1850"/>
      <x:c r="D3" s="1850"/>
      <x:c r="E3" s="1850"/>
      <x:c r="F3" s="1850"/>
      <x:c r="G3" s="1850"/>
      <x:c r="H3" s="1850"/>
      <x:c r="I3" s="1850"/>
    </x:row>
    <x:row r="4" ht="23" customHeight="1">
      <x:c r="A4" s="756" t="s">
        <x:v>49</x:v>
      </x:c>
      <x:c r="B4" s="491" t="s">
        <x:v>50</x:v>
      </x:c>
      <x:c r="C4" s="491"/>
      <x:c r="D4" s="1851"/>
      <x:c r="E4" s="1852"/>
      <x:c r="F4" s="1851"/>
      <x:c r="G4" s="1851"/>
      <x:c r="H4" s="1852"/>
      <x:c r="I4" s="1854"/>
    </x:row>
    <x:row r="5" ht="23" customHeight="1">
      <x:c r="A5" s="774" t="s">
        <x:v>51</x:v>
      </x:c>
      <x:c r="B5" s="515" t="s">
        <x:v>52</x:v>
      </x:c>
      <x:c r="C5" s="515"/>
      <x:c r="D5" s="1855"/>
      <x:c r="E5" s="1856"/>
      <x:c r="F5" s="1855"/>
      <x:c r="G5" s="1855"/>
      <x:c r="H5" s="1856"/>
      <x:c r="I5" s="1858"/>
    </x:row>
    <x:row r="6" ht="24" customHeight="1">
      <x:c r="A6" s="1865" t="s">
        <x:v>53</x:v>
      </x:c>
      <x:c r="B6" s="1821" t="s">
        <x:v>54</x:v>
      </x:c>
      <x:c r="C6" s="1501" t="s">
        <x:v>55</x:v>
      </x:c>
      <x:c r="D6" s="1575">
        <x:v>64</x:v>
      </x:c>
      <x:c r="E6" s="1578">
        <x:v>84.52</x:v>
      </x:c>
      <x:c r="F6" s="1575">
        <x:v>0</x:v>
      </x:c>
      <x:c r="G6" s="1575">
        <x:v>0</x:v>
      </x:c>
      <x:c r="H6" s="1578">
        <x:v>0</x:v>
      </x:c>
      <x:c r="I6" s="1592">
        <x:v>0</x:v>
      </x:c>
    </x:row>
    <x:row r="7" ht="31" customHeight="1">
      <x:c r="A7" s="1866" t="s">
        <x:v>56</x:v>
      </x:c>
      <x:c r="B7" s="1823" t="s">
        <x:v>57</x:v>
      </x:c>
      <x:c r="C7" s="249" t="s">
        <x:v>55</x:v>
      </x:c>
      <x:c r="D7" s="1576">
        <x:v>28</x:v>
      </x:c>
      <x:c r="E7" s="1579">
        <x:v>144.54</x:v>
      </x:c>
      <x:c r="F7" s="1576">
        <x:v>0</x:v>
      </x:c>
      <x:c r="G7" s="1576">
        <x:v>0</x:v>
      </x:c>
      <x:c r="H7" s="1579">
        <x:v>0</x:v>
      </x:c>
      <x:c r="I7" s="1593">
        <x:v>0</x:v>
      </x:c>
    </x:row>
    <x:row r="8" ht="23" customHeight="1">
      <x:c r="A8" s="774" t="s">
        <x:v>58</x:v>
      </x:c>
      <x:c r="B8" s="515" t="s">
        <x:v>59</x:v>
      </x:c>
      <x:c r="C8" s="515"/>
      <x:c r="D8" s="1855"/>
      <x:c r="E8" s="1856"/>
      <x:c r="F8" s="1855"/>
      <x:c r="G8" s="1855"/>
      <x:c r="H8" s="1856"/>
      <x:c r="I8" s="1858"/>
    </x:row>
    <x:row r="9" ht="31" customHeight="1">
      <x:c r="A9" s="1865" t="s">
        <x:v>60</x:v>
      </x:c>
      <x:c r="B9" s="1821" t="s">
        <x:v>61</x:v>
      </x:c>
      <x:c r="C9" s="1501" t="s">
        <x:v>62</x:v>
      </x:c>
      <x:c r="D9" s="1575">
        <x:v>3.6</x:v>
      </x:c>
      <x:c r="E9" s="1578">
        <x:v>134.39</x:v>
      </x:c>
      <x:c r="F9" s="1575">
        <x:v>0</x:v>
      </x:c>
      <x:c r="G9" s="1575">
        <x:v>0</x:v>
      </x:c>
      <x:c r="H9" s="1578">
        <x:v>0</x:v>
      </x:c>
      <x:c r="I9" s="1592">
        <x:v>0</x:v>
      </x:c>
    </x:row>
    <x:row r="10" ht="24" customHeight="1">
      <x:c r="A10" s="1866" t="s">
        <x:v>63</x:v>
      </x:c>
      <x:c r="B10" s="1823" t="s">
        <x:v>64</x:v>
      </x:c>
      <x:c r="C10" s="249" t="s">
        <x:v>65</x:v>
      </x:c>
      <x:c r="D10" s="1576">
        <x:v>87.69</x:v>
      </x:c>
      <x:c r="E10" s="1579">
        <x:v>18.58</x:v>
      </x:c>
      <x:c r="F10" s="1576">
        <x:v>0</x:v>
      </x:c>
      <x:c r="G10" s="1576">
        <x:v>0</x:v>
      </x:c>
      <x:c r="H10" s="1579">
        <x:v>0</x:v>
      </x:c>
      <x:c r="I10" s="1593">
        <x:v>0</x:v>
      </x:c>
    </x:row>
    <x:row r="11" ht="31" customHeight="1">
      <x:c r="A11" s="1865" t="s">
        <x:v>66</x:v>
      </x:c>
      <x:c r="B11" s="1821" t="s">
        <x:v>67</x:v>
      </x:c>
      <x:c r="C11" s="1501" t="s">
        <x:v>65</x:v>
      </x:c>
      <x:c r="D11" s="1575">
        <x:v>14.96</x:v>
      </x:c>
      <x:c r="E11" s="1578">
        <x:v>28.61</x:v>
      </x:c>
      <x:c r="F11" s="1575">
        <x:v>0</x:v>
      </x:c>
      <x:c r="G11" s="1575">
        <x:v>0</x:v>
      </x:c>
      <x:c r="H11" s="1578">
        <x:v>0</x:v>
      </x:c>
      <x:c r="I11" s="1592">
        <x:v>0</x:v>
      </x:c>
    </x:row>
    <x:row r="12" ht="31" customHeight="1">
      <x:c r="A12" s="1866" t="s">
        <x:v>68</x:v>
      </x:c>
      <x:c r="B12" s="1823" t="s">
        <x:v>67</x:v>
      </x:c>
      <x:c r="C12" s="249" t="s">
        <x:v>65</x:v>
      </x:c>
      <x:c r="D12" s="1576">
        <x:v>45.6</x:v>
      </x:c>
      <x:c r="E12" s="1579">
        <x:v>28.61</x:v>
      </x:c>
      <x:c r="F12" s="1576">
        <x:v>0</x:v>
      </x:c>
      <x:c r="G12" s="1576">
        <x:v>0</x:v>
      </x:c>
      <x:c r="H12" s="1579">
        <x:v>0</x:v>
      </x:c>
      <x:c r="I12" s="1593">
        <x:v>0</x:v>
      </x:c>
    </x:row>
    <x:row r="13" ht="31" customHeight="1">
      <x:c r="A13" s="1865" t="s">
        <x:v>69</x:v>
      </x:c>
      <x:c r="B13" s="1821" t="s">
        <x:v>70</x:v>
      </x:c>
      <x:c r="C13" s="1501" t="s">
        <x:v>65</x:v>
      </x:c>
      <x:c r="D13" s="1575">
        <x:v>4.5</x:v>
      </x:c>
      <x:c r="E13" s="1578">
        <x:v>554.97</x:v>
      </x:c>
      <x:c r="F13" s="1575">
        <x:v>0</x:v>
      </x:c>
      <x:c r="G13" s="1575">
        <x:v>0</x:v>
      </x:c>
      <x:c r="H13" s="1578">
        <x:v>0</x:v>
      </x:c>
      <x:c r="I13" s="1592">
        <x:v>0</x:v>
      </x:c>
    </x:row>
    <x:row r="14" ht="43" customHeight="1">
      <x:c r="A14" s="1866" t="s">
        <x:v>71</x:v>
      </x:c>
      <x:c r="B14" s="1823" t="s">
        <x:v>72</x:v>
      </x:c>
      <x:c r="C14" s="249" t="s">
        <x:v>73</x:v>
      </x:c>
      <x:c r="D14" s="1576">
        <x:v>2</x:v>
      </x:c>
      <x:c r="E14" s="1579">
        <x:v>130.19</x:v>
      </x:c>
      <x:c r="F14" s="1576">
        <x:v>0</x:v>
      </x:c>
      <x:c r="G14" s="1576">
        <x:v>0</x:v>
      </x:c>
      <x:c r="H14" s="1579">
        <x:v>0</x:v>
      </x:c>
      <x:c r="I14" s="1593">
        <x:v>0</x:v>
      </x:c>
    </x:row>
    <x:row r="15" ht="24" customHeight="1">
      <x:c r="A15" s="1865" t="s">
        <x:v>74</x:v>
      </x:c>
      <x:c r="B15" s="1821" t="s">
        <x:v>75</x:v>
      </x:c>
      <x:c r="C15" s="1501" t="s">
        <x:v>62</x:v>
      </x:c>
      <x:c r="D15" s="1575">
        <x:v>4.81</x:v>
      </x:c>
      <x:c r="E15" s="1578">
        <x:v>9.89</x:v>
      </x:c>
      <x:c r="F15" s="1575">
        <x:v>0</x:v>
      </x:c>
      <x:c r="G15" s="1575">
        <x:v>0</x:v>
      </x:c>
      <x:c r="H15" s="1578">
        <x:v>0</x:v>
      </x:c>
      <x:c r="I15" s="1592">
        <x:v>0</x:v>
      </x:c>
    </x:row>
    <x:row r="16" ht="23" customHeight="1">
      <x:c r="A16" s="774" t="s">
        <x:v>76</x:v>
      </x:c>
      <x:c r="B16" s="515" t="s">
        <x:v>77</x:v>
      </x:c>
      <x:c r="C16" s="515"/>
      <x:c r="D16" s="1855"/>
      <x:c r="E16" s="1856"/>
      <x:c r="F16" s="1855"/>
      <x:c r="G16" s="1855"/>
      <x:c r="H16" s="1856"/>
      <x:c r="I16" s="1858"/>
    </x:row>
    <x:row r="17" ht="23" customHeight="1">
      <x:c r="A17" s="792" t="s">
        <x:v>78</x:v>
      </x:c>
      <x:c r="B17" s="539" t="s">
        <x:v>79</x:v>
      </x:c>
      <x:c r="C17" s="539"/>
      <x:c r="D17" s="1859"/>
      <x:c r="E17" s="1860"/>
      <x:c r="F17" s="1859"/>
      <x:c r="G17" s="1859"/>
      <x:c r="H17" s="1860"/>
      <x:c r="I17" s="1862"/>
    </x:row>
    <x:row r="18" ht="43" customHeight="1">
      <x:c r="A18" s="1866" t="s">
        <x:v>80</x:v>
      </x:c>
      <x:c r="B18" s="1823" t="s">
        <x:v>81</x:v>
      </x:c>
      <x:c r="C18" s="249" t="s">
        <x:v>65</x:v>
      </x:c>
      <x:c r="D18" s="1576">
        <x:v>10.1</x:v>
      </x:c>
      <x:c r="E18" s="1579">
        <x:v>81.82</x:v>
      </x:c>
      <x:c r="F18" s="1576">
        <x:v>0</x:v>
      </x:c>
      <x:c r="G18" s="1576">
        <x:v>0</x:v>
      </x:c>
      <x:c r="H18" s="1579">
        <x:v>0</x:v>
      </x:c>
      <x:c r="I18" s="1593">
        <x:v>0</x:v>
      </x:c>
    </x:row>
    <x:row r="19" ht="43" customHeight="1">
      <x:c r="A19" s="1865" t="s">
        <x:v>82</x:v>
      </x:c>
      <x:c r="B19" s="1821" t="s">
        <x:v>83</x:v>
      </x:c>
      <x:c r="C19" s="1501" t="s">
        <x:v>65</x:v>
      </x:c>
      <x:c r="D19" s="1575">
        <x:v>20.2</x:v>
      </x:c>
      <x:c r="E19" s="1578">
        <x:v>6.02</x:v>
      </x:c>
      <x:c r="F19" s="1575">
        <x:v>0</x:v>
      </x:c>
      <x:c r="G19" s="1575">
        <x:v>0</x:v>
      </x:c>
      <x:c r="H19" s="1578">
        <x:v>0</x:v>
      </x:c>
      <x:c r="I19" s="1592">
        <x:v>0</x:v>
      </x:c>
    </x:row>
    <x:row r="20" ht="43" customHeight="1">
      <x:c r="A20" s="1866" t="s">
        <x:v>84</x:v>
      </x:c>
      <x:c r="B20" s="1823" t="s">
        <x:v>85</x:v>
      </x:c>
      <x:c r="C20" s="249" t="s">
        <x:v>65</x:v>
      </x:c>
      <x:c r="D20" s="1576">
        <x:v>20.2</x:v>
      </x:c>
      <x:c r="E20" s="1579">
        <x:v>39.46</x:v>
      </x:c>
      <x:c r="F20" s="1576">
        <x:v>0</x:v>
      </x:c>
      <x:c r="G20" s="1576">
        <x:v>0</x:v>
      </x:c>
      <x:c r="H20" s="1579">
        <x:v>0</x:v>
      </x:c>
      <x:c r="I20" s="1593">
        <x:v>0</x:v>
      </x:c>
    </x:row>
    <x:row r="21" ht="23" customHeight="1">
      <x:c r="A21" s="792" t="s">
        <x:v>86</x:v>
      </x:c>
      <x:c r="B21" s="539" t="s">
        <x:v>87</x:v>
      </x:c>
      <x:c r="C21" s="539"/>
      <x:c r="D21" s="1859"/>
      <x:c r="E21" s="1860"/>
      <x:c r="F21" s="1859"/>
      <x:c r="G21" s="1859"/>
      <x:c r="H21" s="1860"/>
      <x:c r="I21" s="1862"/>
    </x:row>
    <x:row r="22" ht="43" customHeight="1">
      <x:c r="A22" s="1865" t="s">
        <x:v>88</x:v>
      </x:c>
      <x:c r="B22" s="1821" t="s">
        <x:v>81</x:v>
      </x:c>
      <x:c r="C22" s="1501" t="s">
        <x:v>65</x:v>
      </x:c>
      <x:c r="D22" s="1575">
        <x:v>1.89</x:v>
      </x:c>
      <x:c r="E22" s="1578">
        <x:v>81.82</x:v>
      </x:c>
      <x:c r="F22" s="1575">
        <x:v>0</x:v>
      </x:c>
      <x:c r="G22" s="1575">
        <x:v>0</x:v>
      </x:c>
      <x:c r="H22" s="1578">
        <x:v>0</x:v>
      </x:c>
      <x:c r="I22" s="1592">
        <x:v>0</x:v>
      </x:c>
    </x:row>
    <x:row r="23" ht="43" customHeight="1">
      <x:c r="A23" s="1866" t="s">
        <x:v>89</x:v>
      </x:c>
      <x:c r="B23" s="1823" t="s">
        <x:v>90</x:v>
      </x:c>
      <x:c r="C23" s="249" t="s">
        <x:v>65</x:v>
      </x:c>
      <x:c r="D23" s="1576">
        <x:v>0.76</x:v>
      </x:c>
      <x:c r="E23" s="1579">
        <x:v>109.21</x:v>
      </x:c>
      <x:c r="F23" s="1576">
        <x:v>0</x:v>
      </x:c>
      <x:c r="G23" s="1576">
        <x:v>0</x:v>
      </x:c>
      <x:c r="H23" s="1579">
        <x:v>0</x:v>
      </x:c>
      <x:c r="I23" s="1593">
        <x:v>0</x:v>
      </x:c>
    </x:row>
    <x:row r="24" ht="43" customHeight="1">
      <x:c r="A24" s="1865" t="s">
        <x:v>91</x:v>
      </x:c>
      <x:c r="B24" s="1821" t="s">
        <x:v>83</x:v>
      </x:c>
      <x:c r="C24" s="1501" t="s">
        <x:v>65</x:v>
      </x:c>
      <x:c r="D24" s="1575">
        <x:v>5.3</x:v>
      </x:c>
      <x:c r="E24" s="1578">
        <x:v>6.02</x:v>
      </x:c>
      <x:c r="F24" s="1575">
        <x:v>0</x:v>
      </x:c>
      <x:c r="G24" s="1575">
        <x:v>0</x:v>
      </x:c>
      <x:c r="H24" s="1578">
        <x:v>0</x:v>
      </x:c>
      <x:c r="I24" s="1592">
        <x:v>0</x:v>
      </x:c>
    </x:row>
    <x:row r="25" ht="43" customHeight="1">
      <x:c r="A25" s="1866" t="s">
        <x:v>92</x:v>
      </x:c>
      <x:c r="B25" s="1823" t="s">
        <x:v>85</x:v>
      </x:c>
      <x:c r="C25" s="249" t="s">
        <x:v>65</x:v>
      </x:c>
      <x:c r="D25" s="1576">
        <x:v>5.3</x:v>
      </x:c>
      <x:c r="E25" s="1579">
        <x:v>39.46</x:v>
      </x:c>
      <x:c r="F25" s="1576">
        <x:v>0</x:v>
      </x:c>
      <x:c r="G25" s="1576">
        <x:v>0</x:v>
      </x:c>
      <x:c r="H25" s="1579">
        <x:v>0</x:v>
      </x:c>
      <x:c r="I25" s="1593">
        <x:v>0</x:v>
      </x:c>
    </x:row>
    <x:row r="26" ht="23" customHeight="1">
      <x:c r="A26" s="792" t="s">
        <x:v>93</x:v>
      </x:c>
      <x:c r="B26" s="539" t="s">
        <x:v>94</x:v>
      </x:c>
      <x:c r="C26" s="539"/>
      <x:c r="D26" s="1859"/>
      <x:c r="E26" s="1860"/>
      <x:c r="F26" s="1859"/>
      <x:c r="G26" s="1859"/>
      <x:c r="H26" s="1860"/>
      <x:c r="I26" s="1862"/>
    </x:row>
    <x:row r="27" ht="43" customHeight="1">
      <x:c r="A27" s="1865" t="s">
        <x:v>95</x:v>
      </x:c>
      <x:c r="B27" s="1821" t="s">
        <x:v>90</x:v>
      </x:c>
      <x:c r="C27" s="1501" t="s">
        <x:v>65</x:v>
      </x:c>
      <x:c r="D27" s="1575">
        <x:v>0.66</x:v>
      </x:c>
      <x:c r="E27" s="1578">
        <x:v>109.21</x:v>
      </x:c>
      <x:c r="F27" s="1575">
        <x:v>0</x:v>
      </x:c>
      <x:c r="G27" s="1575">
        <x:v>0</x:v>
      </x:c>
      <x:c r="H27" s="1578">
        <x:v>0</x:v>
      </x:c>
      <x:c r="I27" s="1592">
        <x:v>0</x:v>
      </x:c>
    </x:row>
    <x:row r="28" ht="43" customHeight="1">
      <x:c r="A28" s="1866" t="s">
        <x:v>96</x:v>
      </x:c>
      <x:c r="B28" s="1823" t="s">
        <x:v>97</x:v>
      </x:c>
      <x:c r="C28" s="249" t="s">
        <x:v>65</x:v>
      </x:c>
      <x:c r="D28" s="1576">
        <x:v>1.32</x:v>
      </x:c>
      <x:c r="E28" s="1579">
        <x:v>6.02</x:v>
      </x:c>
      <x:c r="F28" s="1576">
        <x:v>0</x:v>
      </x:c>
      <x:c r="G28" s="1576">
        <x:v>0</x:v>
      </x:c>
      <x:c r="H28" s="1579">
        <x:v>0</x:v>
      </x:c>
      <x:c r="I28" s="1593">
        <x:v>0</x:v>
      </x:c>
    </x:row>
    <x:row r="29" ht="43" customHeight="1">
      <x:c r="A29" s="1865" t="s">
        <x:v>98</x:v>
      </x:c>
      <x:c r="B29" s="1821" t="s">
        <x:v>85</x:v>
      </x:c>
      <x:c r="C29" s="1501" t="s">
        <x:v>65</x:v>
      </x:c>
      <x:c r="D29" s="1575">
        <x:v>1.32</x:v>
      </x:c>
      <x:c r="E29" s="1578">
        <x:v>39.46</x:v>
      </x:c>
      <x:c r="F29" s="1575">
        <x:v>0</x:v>
      </x:c>
      <x:c r="G29" s="1575">
        <x:v>0</x:v>
      </x:c>
      <x:c r="H29" s="1578">
        <x:v>0</x:v>
      </x:c>
      <x:c r="I29" s="1592">
        <x:v>0</x:v>
      </x:c>
    </x:row>
    <x:row r="30" ht="23" customHeight="1">
      <x:c r="A30" s="792" t="s">
        <x:v>99</x:v>
      </x:c>
      <x:c r="B30" s="539" t="s">
        <x:v>100</x:v>
      </x:c>
      <x:c r="C30" s="539"/>
      <x:c r="D30" s="1859"/>
      <x:c r="E30" s="1860"/>
      <x:c r="F30" s="1859"/>
      <x:c r="G30" s="1859"/>
      <x:c r="H30" s="1860"/>
      <x:c r="I30" s="1862"/>
    </x:row>
    <x:row r="31" ht="43" customHeight="1">
      <x:c r="A31" s="1866" t="s">
        <x:v>101</x:v>
      </x:c>
      <x:c r="B31" s="1823" t="s">
        <x:v>81</x:v>
      </x:c>
      <x:c r="C31" s="249" t="s">
        <x:v>65</x:v>
      </x:c>
      <x:c r="D31" s="1576">
        <x:v>6.53</x:v>
      </x:c>
      <x:c r="E31" s="1579">
        <x:v>81.82</x:v>
      </x:c>
      <x:c r="F31" s="1576">
        <x:v>0</x:v>
      </x:c>
      <x:c r="G31" s="1576">
        <x:v>0</x:v>
      </x:c>
      <x:c r="H31" s="1579">
        <x:v>0</x:v>
      </x:c>
      <x:c r="I31" s="1593">
        <x:v>0</x:v>
      </x:c>
    </x:row>
    <x:row r="32" ht="43" customHeight="1">
      <x:c r="A32" s="1865" t="s">
        <x:v>102</x:v>
      </x:c>
      <x:c r="B32" s="1821" t="s">
        <x:v>81</x:v>
      </x:c>
      <x:c r="C32" s="1501" t="s">
        <x:v>65</x:v>
      </x:c>
      <x:c r="D32" s="1575">
        <x:v>23.98</x:v>
      </x:c>
      <x:c r="E32" s="1578">
        <x:v>81.82</x:v>
      </x:c>
      <x:c r="F32" s="1575">
        <x:v>0</x:v>
      </x:c>
      <x:c r="G32" s="1575">
        <x:v>0</x:v>
      </x:c>
      <x:c r="H32" s="1578">
        <x:v>0</x:v>
      </x:c>
      <x:c r="I32" s="1592">
        <x:v>0</x:v>
      </x:c>
    </x:row>
    <x:row r="33" ht="43" customHeight="1">
      <x:c r="A33" s="1866" t="s">
        <x:v>103</x:v>
      </x:c>
      <x:c r="B33" s="1823" t="s">
        <x:v>83</x:v>
      </x:c>
      <x:c r="C33" s="249" t="s">
        <x:v>65</x:v>
      </x:c>
      <x:c r="D33" s="1576">
        <x:v>30.51</x:v>
      </x:c>
      <x:c r="E33" s="1579">
        <x:v>6.02</x:v>
      </x:c>
      <x:c r="F33" s="1576">
        <x:v>0</x:v>
      </x:c>
      <x:c r="G33" s="1576">
        <x:v>0</x:v>
      </x:c>
      <x:c r="H33" s="1579">
        <x:v>0</x:v>
      </x:c>
      <x:c r="I33" s="1593">
        <x:v>0</x:v>
      </x:c>
    </x:row>
    <x:row r="34" ht="43" customHeight="1">
      <x:c r="A34" s="1865" t="s">
        <x:v>104</x:v>
      </x:c>
      <x:c r="B34" s="1821" t="s">
        <x:v>85</x:v>
      </x:c>
      <x:c r="C34" s="1501" t="s">
        <x:v>65</x:v>
      </x:c>
      <x:c r="D34" s="1575">
        <x:v>30.51</x:v>
      </x:c>
      <x:c r="E34" s="1578">
        <x:v>39.46</x:v>
      </x:c>
      <x:c r="F34" s="1575">
        <x:v>0</x:v>
      </x:c>
      <x:c r="G34" s="1575">
        <x:v>0</x:v>
      </x:c>
      <x:c r="H34" s="1578">
        <x:v>0</x:v>
      </x:c>
      <x:c r="I34" s="1592">
        <x:v>0</x:v>
      </x:c>
    </x:row>
    <x:row r="35" ht="23" customHeight="1">
      <x:c r="A35" s="774" t="s">
        <x:v>105</x:v>
      </x:c>
      <x:c r="B35" s="515" t="s">
        <x:v>106</x:v>
      </x:c>
      <x:c r="C35" s="515"/>
      <x:c r="D35" s="1855"/>
      <x:c r="E35" s="1856"/>
      <x:c r="F35" s="1855"/>
      <x:c r="G35" s="1855"/>
      <x:c r="H35" s="1856"/>
      <x:c r="I35" s="1858"/>
    </x:row>
    <x:row r="36" ht="23" customHeight="1">
      <x:c r="A36" s="792" t="s">
        <x:v>107</x:v>
      </x:c>
      <x:c r="B36" s="539" t="s">
        <x:v>108</x:v>
      </x:c>
      <x:c r="C36" s="539"/>
      <x:c r="D36" s="1859"/>
      <x:c r="E36" s="1860"/>
      <x:c r="F36" s="1859"/>
      <x:c r="G36" s="1859"/>
      <x:c r="H36" s="1860"/>
      <x:c r="I36" s="1862"/>
    </x:row>
    <x:row r="37" ht="23" customHeight="1">
      <x:c r="A37" s="792" t="s">
        <x:v>109</x:v>
      </x:c>
      <x:c r="B37" s="539" t="s">
        <x:v>100</x:v>
      </x:c>
      <x:c r="C37" s="539"/>
      <x:c r="D37" s="1859"/>
      <x:c r="E37" s="1860"/>
      <x:c r="F37" s="1859"/>
      <x:c r="G37" s="1859"/>
      <x:c r="H37" s="1860"/>
      <x:c r="I37" s="1862"/>
    </x:row>
    <x:row r="38" ht="43" customHeight="1">
      <x:c r="A38" s="1866" t="s">
        <x:v>110</x:v>
      </x:c>
      <x:c r="B38" s="1823" t="s">
        <x:v>111</x:v>
      </x:c>
      <x:c r="C38" s="249" t="s">
        <x:v>65</x:v>
      </x:c>
      <x:c r="D38" s="1576">
        <x:v>82.86</x:v>
      </x:c>
      <x:c r="E38" s="1579">
        <x:v>77.78</x:v>
      </x:c>
      <x:c r="F38" s="1576">
        <x:v>0</x:v>
      </x:c>
      <x:c r="G38" s="1576">
        <x:v>0</x:v>
      </x:c>
      <x:c r="H38" s="1579">
        <x:v>0</x:v>
      </x:c>
      <x:c r="I38" s="1593">
        <x:v>0</x:v>
      </x:c>
    </x:row>
    <x:row r="39" ht="23" customHeight="1">
      <x:c r="A39" s="774" t="s">
        <x:v>112</x:v>
      </x:c>
      <x:c r="B39" s="515" t="s">
        <x:v>113</x:v>
      </x:c>
      <x:c r="C39" s="515"/>
      <x:c r="D39" s="1855"/>
      <x:c r="E39" s="1856"/>
      <x:c r="F39" s="1855"/>
      <x:c r="G39" s="1855"/>
      <x:c r="H39" s="1856"/>
      <x:c r="I39" s="1858"/>
    </x:row>
    <x:row r="40" ht="23" customHeight="1">
      <x:c r="A40" s="792" t="s">
        <x:v>114</x:v>
      </x:c>
      <x:c r="B40" s="539" t="s">
        <x:v>115</x:v>
      </x:c>
      <x:c r="C40" s="539"/>
      <x:c r="D40" s="1859"/>
      <x:c r="E40" s="1860"/>
      <x:c r="F40" s="1859"/>
      <x:c r="G40" s="1859"/>
      <x:c r="H40" s="1860"/>
      <x:c r="I40" s="1862"/>
    </x:row>
    <x:row r="41" ht="31" customHeight="1">
      <x:c r="A41" s="1865" t="s">
        <x:v>116</x:v>
      </x:c>
      <x:c r="B41" s="1821" t="s">
        <x:v>117</x:v>
      </x:c>
      <x:c r="C41" s="1501" t="s">
        <x:v>65</x:v>
      </x:c>
      <x:c r="D41" s="1575">
        <x:v>18.21</x:v>
      </x:c>
      <x:c r="E41" s="1578">
        <x:v>125.72</x:v>
      </x:c>
      <x:c r="F41" s="1575">
        <x:v>0</x:v>
      </x:c>
      <x:c r="G41" s="1575">
        <x:v>0</x:v>
      </x:c>
      <x:c r="H41" s="1578">
        <x:v>0</x:v>
      </x:c>
      <x:c r="I41" s="1592">
        <x:v>0</x:v>
      </x:c>
    </x:row>
    <x:row r="42" ht="23" customHeight="1">
      <x:c r="A42" s="792" t="s">
        <x:v>118</x:v>
      </x:c>
      <x:c r="B42" s="539" t="s">
        <x:v>119</x:v>
      </x:c>
      <x:c r="C42" s="539"/>
      <x:c r="D42" s="1859"/>
      <x:c r="E42" s="1860"/>
      <x:c r="F42" s="1859"/>
      <x:c r="G42" s="1859"/>
      <x:c r="H42" s="1860"/>
      <x:c r="I42" s="1862"/>
    </x:row>
    <x:row r="43" ht="31" customHeight="1">
      <x:c r="A43" s="1866" t="s">
        <x:v>120</x:v>
      </x:c>
      <x:c r="B43" s="1823" t="s">
        <x:v>117</x:v>
      </x:c>
      <x:c r="C43" s="249" t="s">
        <x:v>65</x:v>
      </x:c>
      <x:c r="D43" s="1576">
        <x:v>25</x:v>
      </x:c>
      <x:c r="E43" s="1579">
        <x:v>125.72</x:v>
      </x:c>
      <x:c r="F43" s="1576">
        <x:v>0</x:v>
      </x:c>
      <x:c r="G43" s="1576">
        <x:v>0</x:v>
      </x:c>
      <x:c r="H43" s="1579">
        <x:v>0</x:v>
      </x:c>
      <x:c r="I43" s="1593">
        <x:v>0</x:v>
      </x:c>
    </x:row>
    <x:row r="44" ht="23" customHeight="1">
      <x:c r="A44" s="792" t="s">
        <x:v>121</x:v>
      </x:c>
      <x:c r="B44" s="539" t="s">
        <x:v>122</x:v>
      </x:c>
      <x:c r="C44" s="539"/>
      <x:c r="D44" s="1859"/>
      <x:c r="E44" s="1860"/>
      <x:c r="F44" s="1859"/>
      <x:c r="G44" s="1859"/>
      <x:c r="H44" s="1860"/>
      <x:c r="I44" s="1862"/>
    </x:row>
    <x:row r="45" ht="43" customHeight="1">
      <x:c r="A45" s="1865" t="s">
        <x:v>123</x:v>
      </x:c>
      <x:c r="B45" s="1821" t="s">
        <x:v>124</x:v>
      </x:c>
      <x:c r="C45" s="1501" t="s">
        <x:v>65</x:v>
      </x:c>
      <x:c r="D45" s="1575">
        <x:v>25.6</x:v>
      </x:c>
      <x:c r="E45" s="1578">
        <x:v>68.66</x:v>
      </x:c>
      <x:c r="F45" s="1575">
        <x:v>0</x:v>
      </x:c>
      <x:c r="G45" s="1575">
        <x:v>0</x:v>
      </x:c>
      <x:c r="H45" s="1578">
        <x:v>0</x:v>
      </x:c>
      <x:c r="I45" s="1592">
        <x:v>0</x:v>
      </x:c>
    </x:row>
    <x:row r="46" ht="43" customHeight="1">
      <x:c r="A46" s="1866" t="s">
        <x:v>125</x:v>
      </x:c>
      <x:c r="B46" s="1823" t="s">
        <x:v>126</x:v>
      </x:c>
      <x:c r="C46" s="249" t="s">
        <x:v>65</x:v>
      </x:c>
      <x:c r="D46" s="1576">
        <x:v>25.6</x:v>
      </x:c>
      <x:c r="E46" s="1579">
        <x:v>62.26</x:v>
      </x:c>
      <x:c r="F46" s="1576">
        <x:v>0</x:v>
      </x:c>
      <x:c r="G46" s="1576">
        <x:v>0</x:v>
      </x:c>
      <x:c r="H46" s="1579">
        <x:v>0</x:v>
      </x:c>
      <x:c r="I46" s="1593">
        <x:v>0</x:v>
      </x:c>
    </x:row>
    <x:row r="47" ht="23" customHeight="1">
      <x:c r="A47" s="774" t="s">
        <x:v>127</x:v>
      </x:c>
      <x:c r="B47" s="515" t="s">
        <x:v>128</x:v>
      </x:c>
      <x:c r="C47" s="515"/>
      <x:c r="D47" s="1855"/>
      <x:c r="E47" s="1856"/>
      <x:c r="F47" s="1855"/>
      <x:c r="G47" s="1855"/>
      <x:c r="H47" s="1856"/>
      <x:c r="I47" s="1858"/>
    </x:row>
    <x:row r="48" ht="23" customHeight="1">
      <x:c r="A48" s="792" t="s">
        <x:v>129</x:v>
      </x:c>
      <x:c r="B48" s="539" t="s">
        <x:v>130</x:v>
      </x:c>
      <x:c r="C48" s="539"/>
      <x:c r="D48" s="1859"/>
      <x:c r="E48" s="1860"/>
      <x:c r="F48" s="1859"/>
      <x:c r="G48" s="1859"/>
      <x:c r="H48" s="1860"/>
      <x:c r="I48" s="1862"/>
    </x:row>
    <x:row r="49" ht="23" customHeight="1">
      <x:c r="A49" s="792" t="s">
        <x:v>131</x:v>
      </x:c>
      <x:c r="B49" s="539" t="s">
        <x:v>132</x:v>
      </x:c>
      <x:c r="C49" s="539"/>
      <x:c r="D49" s="1859"/>
      <x:c r="E49" s="1860"/>
      <x:c r="F49" s="1859"/>
      <x:c r="G49" s="1859"/>
      <x:c r="H49" s="1860"/>
      <x:c r="I49" s="1862"/>
    </x:row>
    <x:row r="50" ht="24" customHeight="1">
      <x:c r="A50" s="1865" t="s">
        <x:v>133</x:v>
      </x:c>
      <x:c r="B50" s="1821" t="s">
        <x:v>134</x:v>
      </x:c>
      <x:c r="C50" s="1501" t="s">
        <x:v>65</x:v>
      </x:c>
      <x:c r="D50" s="1575">
        <x:v>50.17</x:v>
      </x:c>
      <x:c r="E50" s="1578">
        <x:v>3.69</x:v>
      </x:c>
      <x:c r="F50" s="1575">
        <x:v>0</x:v>
      </x:c>
      <x:c r="G50" s="1575">
        <x:v>0</x:v>
      </x:c>
      <x:c r="H50" s="1578">
        <x:v>0</x:v>
      </x:c>
      <x:c r="I50" s="1592">
        <x:v>0</x:v>
      </x:c>
    </x:row>
    <x:row r="51" ht="31" customHeight="1">
      <x:c r="A51" s="1866" t="s">
        <x:v>135</x:v>
      </x:c>
      <x:c r="B51" s="1823" t="s">
        <x:v>136</x:v>
      </x:c>
      <x:c r="C51" s="249" t="s">
        <x:v>65</x:v>
      </x:c>
      <x:c r="D51" s="1576">
        <x:v>50.17</x:v>
      </x:c>
      <x:c r="E51" s="1579">
        <x:v>89.92</x:v>
      </x:c>
      <x:c r="F51" s="1576">
        <x:v>0</x:v>
      </x:c>
      <x:c r="G51" s="1576">
        <x:v>0</x:v>
      </x:c>
      <x:c r="H51" s="1579">
        <x:v>0</x:v>
      </x:c>
      <x:c r="I51" s="1593">
        <x:v>0</x:v>
      </x:c>
    </x:row>
    <x:row r="52" ht="23" customHeight="1">
      <x:c r="A52" s="792" t="s">
        <x:v>137</x:v>
      </x:c>
      <x:c r="B52" s="539" t="s">
        <x:v>138</x:v>
      </x:c>
      <x:c r="C52" s="539"/>
      <x:c r="D52" s="1859"/>
      <x:c r="E52" s="1860"/>
      <x:c r="F52" s="1859"/>
      <x:c r="G52" s="1859"/>
      <x:c r="H52" s="1860"/>
      <x:c r="I52" s="1862"/>
    </x:row>
    <x:row r="53" ht="31" customHeight="1">
      <x:c r="A53" s="1865" t="s">
        <x:v>139</x:v>
      </x:c>
      <x:c r="B53" s="1821" t="s">
        <x:v>140</x:v>
      </x:c>
      <x:c r="C53" s="1501" t="s">
        <x:v>65</x:v>
      </x:c>
      <x:c r="D53" s="1575">
        <x:v>49.25</x:v>
      </x:c>
      <x:c r="E53" s="1578">
        <x:v>3.69</x:v>
      </x:c>
      <x:c r="F53" s="1575">
        <x:v>0</x:v>
      </x:c>
      <x:c r="G53" s="1575">
        <x:v>0</x:v>
      </x:c>
      <x:c r="H53" s="1578">
        <x:v>0</x:v>
      </x:c>
      <x:c r="I53" s="1592">
        <x:v>0</x:v>
      </x:c>
    </x:row>
    <x:row r="54" ht="31" customHeight="1">
      <x:c r="A54" s="1866" t="s">
        <x:v>141</x:v>
      </x:c>
      <x:c r="B54" s="1823" t="s">
        <x:v>136</x:v>
      </x:c>
      <x:c r="C54" s="249" t="s">
        <x:v>65</x:v>
      </x:c>
      <x:c r="D54" s="1576">
        <x:v>49.25</x:v>
      </x:c>
      <x:c r="E54" s="1579">
        <x:v>89.92</x:v>
      </x:c>
      <x:c r="F54" s="1576">
        <x:v>0</x:v>
      </x:c>
      <x:c r="G54" s="1576">
        <x:v>0</x:v>
      </x:c>
      <x:c r="H54" s="1579">
        <x:v>0</x:v>
      </x:c>
      <x:c r="I54" s="1593">
        <x:v>0</x:v>
      </x:c>
    </x:row>
    <x:row r="55" ht="23" customHeight="1">
      <x:c r="A55" s="792" t="s">
        <x:v>142</x:v>
      </x:c>
      <x:c r="B55" s="539" t="s">
        <x:v>143</x:v>
      </x:c>
      <x:c r="C55" s="539"/>
      <x:c r="D55" s="1859"/>
      <x:c r="E55" s="1860"/>
      <x:c r="F55" s="1859"/>
      <x:c r="G55" s="1859"/>
      <x:c r="H55" s="1860"/>
      <x:c r="I55" s="1862"/>
    </x:row>
    <x:row r="56" ht="24" customHeight="1">
      <x:c r="A56" s="1865" t="s">
        <x:v>144</x:v>
      </x:c>
      <x:c r="B56" s="1821" t="s">
        <x:v>134</x:v>
      </x:c>
      <x:c r="C56" s="1501" t="s">
        <x:v>65</x:v>
      </x:c>
      <x:c r="D56" s="1575">
        <x:v>21.38</x:v>
      </x:c>
      <x:c r="E56" s="1578">
        <x:v>3.69</x:v>
      </x:c>
      <x:c r="F56" s="1575">
        <x:v>0</x:v>
      </x:c>
      <x:c r="G56" s="1575">
        <x:v>0</x:v>
      </x:c>
      <x:c r="H56" s="1578">
        <x:v>0</x:v>
      </x:c>
      <x:c r="I56" s="1592">
        <x:v>0</x:v>
      </x:c>
    </x:row>
    <x:row r="57" ht="31" customHeight="1">
      <x:c r="A57" s="1866" t="s">
        <x:v>145</x:v>
      </x:c>
      <x:c r="B57" s="1823" t="s">
        <x:v>136</x:v>
      </x:c>
      <x:c r="C57" s="249" t="s">
        <x:v>65</x:v>
      </x:c>
      <x:c r="D57" s="1576">
        <x:v>21.38</x:v>
      </x:c>
      <x:c r="E57" s="1579">
        <x:v>89.92</x:v>
      </x:c>
      <x:c r="F57" s="1576">
        <x:v>0</x:v>
      </x:c>
      <x:c r="G57" s="1576">
        <x:v>0</x:v>
      </x:c>
      <x:c r="H57" s="1579">
        <x:v>0</x:v>
      </x:c>
      <x:c r="I57" s="1593">
        <x:v>0</x:v>
      </x:c>
    </x:row>
    <x:row r="58" ht="23" customHeight="1">
      <x:c r="A58" s="774" t="s">
        <x:v>146</x:v>
      </x:c>
      <x:c r="B58" s="515" t="s">
        <x:v>147</x:v>
      </x:c>
      <x:c r="C58" s="515"/>
      <x:c r="D58" s="1855"/>
      <x:c r="E58" s="1856"/>
      <x:c r="F58" s="1855"/>
      <x:c r="G58" s="1855"/>
      <x:c r="H58" s="1856"/>
      <x:c r="I58" s="1858"/>
    </x:row>
    <x:row r="59" ht="55" customHeight="1">
      <x:c r="A59" s="1865" t="s">
        <x:v>148</x:v>
      </x:c>
      <x:c r="B59" s="1821" t="s">
        <x:v>149</x:v>
      </x:c>
      <x:c r="C59" s="1501" t="s">
        <x:v>65</x:v>
      </x:c>
      <x:c r="D59" s="1575">
        <x:v>89.07</x:v>
      </x:c>
      <x:c r="E59" s="1578">
        <x:v>206.19</x:v>
      </x:c>
      <x:c r="F59" s="1575">
        <x:v>0</x:v>
      </x:c>
      <x:c r="G59" s="1575">
        <x:v>0</x:v>
      </x:c>
      <x:c r="H59" s="1578">
        <x:v>0</x:v>
      </x:c>
      <x:c r="I59" s="1592">
        <x:v>0</x:v>
      </x:c>
    </x:row>
    <x:row r="60" ht="24" customHeight="1">
      <x:c r="A60" s="1866" t="s">
        <x:v>150</x:v>
      </x:c>
      <x:c r="B60" s="1823" t="s">
        <x:v>151</x:v>
      </x:c>
      <x:c r="C60" s="249" t="s">
        <x:v>152</x:v>
      </x:c>
      <x:c r="D60" s="1576">
        <x:v>3.8</x:v>
      </x:c>
      <x:c r="E60" s="1579">
        <x:v>13.28</x:v>
      </x:c>
      <x:c r="F60" s="1576">
        <x:v>0</x:v>
      </x:c>
      <x:c r="G60" s="1576">
        <x:v>0</x:v>
      </x:c>
      <x:c r="H60" s="1579">
        <x:v>0</x:v>
      </x:c>
      <x:c r="I60" s="1593">
        <x:v>0</x:v>
      </x:c>
    </x:row>
    <x:row r="61" ht="23" customHeight="1">
      <x:c r="A61" s="774" t="s">
        <x:v>153</x:v>
      </x:c>
      <x:c r="B61" s="515" t="s">
        <x:v>154</x:v>
      </x:c>
      <x:c r="C61" s="515"/>
      <x:c r="D61" s="1855"/>
      <x:c r="E61" s="1856"/>
      <x:c r="F61" s="1855"/>
      <x:c r="G61" s="1855"/>
      <x:c r="H61" s="1856"/>
      <x:c r="I61" s="1858"/>
    </x:row>
    <x:row r="62" ht="23" customHeight="1">
      <x:c r="A62" s="792" t="s">
        <x:v>155</x:v>
      </x:c>
      <x:c r="B62" s="539" t="s">
        <x:v>156</x:v>
      </x:c>
      <x:c r="C62" s="539"/>
      <x:c r="D62" s="1859"/>
      <x:c r="E62" s="1860"/>
      <x:c r="F62" s="1859"/>
      <x:c r="G62" s="1859"/>
      <x:c r="H62" s="1860"/>
      <x:c r="I62" s="1862"/>
    </x:row>
    <x:row r="63" ht="55" customHeight="1">
      <x:c r="A63" s="1865" t="s">
        <x:v>157</x:v>
      </x:c>
      <x:c r="B63" s="1821" t="s">
        <x:v>158</x:v>
      </x:c>
      <x:c r="C63" s="1501" t="s">
        <x:v>73</x:v>
      </x:c>
      <x:c r="D63" s="1575">
        <x:v>11</x:v>
      </x:c>
      <x:c r="E63" s="1578">
        <x:v>1255.83</x:v>
      </x:c>
      <x:c r="F63" s="1575">
        <x:v>0</x:v>
      </x:c>
      <x:c r="G63" s="1575">
        <x:v>0</x:v>
      </x:c>
      <x:c r="H63" s="1578">
        <x:v>0</x:v>
      </x:c>
      <x:c r="I63" s="1592">
        <x:v>0</x:v>
      </x:c>
    </x:row>
    <x:row r="64" ht="31" customHeight="1">
      <x:c r="A64" s="1866" t="s">
        <x:v>159</x:v>
      </x:c>
      <x:c r="B64" s="1823" t="s">
        <x:v>160</x:v>
      </x:c>
      <x:c r="C64" s="249" t="s">
        <x:v>73</x:v>
      </x:c>
      <x:c r="D64" s="1576">
        <x:v>1</x:v>
      </x:c>
      <x:c r="E64" s="1579">
        <x:v>2317.87</x:v>
      </x:c>
      <x:c r="F64" s="1576">
        <x:v>0</x:v>
      </x:c>
      <x:c r="G64" s="1576">
        <x:v>0</x:v>
      </x:c>
      <x:c r="H64" s="1579">
        <x:v>0</x:v>
      </x:c>
      <x:c r="I64" s="1593">
        <x:v>0</x:v>
      </x:c>
    </x:row>
    <x:row r="65" ht="31" customHeight="1">
      <x:c r="A65" s="1865" t="s">
        <x:v>161</x:v>
      </x:c>
      <x:c r="B65" s="1821" t="s">
        <x:v>162</x:v>
      </x:c>
      <x:c r="C65" s="1501" t="s">
        <x:v>65</x:v>
      </x:c>
      <x:c r="D65" s="1575">
        <x:v>40.32</x:v>
      </x:c>
      <x:c r="E65" s="1578">
        <x:v>19.67</x:v>
      </x:c>
      <x:c r="F65" s="1575">
        <x:v>0</x:v>
      </x:c>
      <x:c r="G65" s="1575">
        <x:v>0</x:v>
      </x:c>
      <x:c r="H65" s="1578">
        <x:v>0</x:v>
      </x:c>
      <x:c r="I65" s="1592">
        <x:v>0</x:v>
      </x:c>
    </x:row>
    <x:row r="66" ht="31" customHeight="1">
      <x:c r="A66" s="1866" t="s">
        <x:v>163</x:v>
      </x:c>
      <x:c r="B66" s="1823" t="s">
        <x:v>164</x:v>
      </x:c>
      <x:c r="C66" s="249" t="s">
        <x:v>65</x:v>
      </x:c>
      <x:c r="D66" s="1576">
        <x:v>1.8</x:v>
      </x:c>
      <x:c r="E66" s="1579">
        <x:v>926.21</x:v>
      </x:c>
      <x:c r="F66" s="1576">
        <x:v>0</x:v>
      </x:c>
      <x:c r="G66" s="1576">
        <x:v>0</x:v>
      </x:c>
      <x:c r="H66" s="1579">
        <x:v>0</x:v>
      </x:c>
      <x:c r="I66" s="1593">
        <x:v>0</x:v>
      </x:c>
    </x:row>
    <x:row r="67" ht="55" customHeight="1">
      <x:c r="A67" s="1865" t="s">
        <x:v>165</x:v>
      </x:c>
      <x:c r="B67" s="1821" t="s">
        <x:v>166</x:v>
      </x:c>
      <x:c r="C67" s="1501" t="s">
        <x:v>65</x:v>
      </x:c>
      <x:c r="D67" s="1575">
        <x:v>3.6</x:v>
      </x:c>
      <x:c r="E67" s="1578">
        <x:v>59.68</x:v>
      </x:c>
      <x:c r="F67" s="1575">
        <x:v>0</x:v>
      </x:c>
      <x:c r="G67" s="1575">
        <x:v>0</x:v>
      </x:c>
      <x:c r="H67" s="1578">
        <x:v>0</x:v>
      </x:c>
      <x:c r="I67" s="1592">
        <x:v>0</x:v>
      </x:c>
    </x:row>
    <x:row r="68" ht="43" customHeight="1">
      <x:c r="A68" s="1866" t="s">
        <x:v>167</x:v>
      </x:c>
      <x:c r="B68" s="1823" t="s">
        <x:v>168</x:v>
      </x:c>
      <x:c r="C68" s="249" t="s">
        <x:v>73</x:v>
      </x:c>
      <x:c r="D68" s="1576">
        <x:v>1</x:v>
      </x:c>
      <x:c r="E68" s="1579">
        <x:v>4648.96</x:v>
      </x:c>
      <x:c r="F68" s="1576">
        <x:v>0</x:v>
      </x:c>
      <x:c r="G68" s="1576">
        <x:v>0</x:v>
      </x:c>
      <x:c r="H68" s="1579">
        <x:v>0</x:v>
      </x:c>
      <x:c r="I68" s="1593">
        <x:v>0</x:v>
      </x:c>
    </x:row>
    <x:row r="69" ht="23" customHeight="1">
      <x:c r="A69" s="774" t="s">
        <x:v>169</x:v>
      </x:c>
      <x:c r="B69" s="515" t="s">
        <x:v>170</x:v>
      </x:c>
      <x:c r="C69" s="515"/>
      <x:c r="D69" s="1855"/>
      <x:c r="E69" s="1856"/>
      <x:c r="F69" s="1855"/>
      <x:c r="G69" s="1855"/>
      <x:c r="H69" s="1856"/>
      <x:c r="I69" s="1858"/>
    </x:row>
    <x:row r="70" ht="23" customHeight="1">
      <x:c r="A70" s="792" t="s">
        <x:v>171</x:v>
      </x:c>
      <x:c r="B70" s="539" t="s">
        <x:v>172</x:v>
      </x:c>
      <x:c r="C70" s="539"/>
      <x:c r="D70" s="1859"/>
      <x:c r="E70" s="1860"/>
      <x:c r="F70" s="1859"/>
      <x:c r="G70" s="1859"/>
      <x:c r="H70" s="1860"/>
      <x:c r="I70" s="1862"/>
    </x:row>
    <x:row r="71" ht="24" customHeight="1">
      <x:c r="A71" s="1865" t="s">
        <x:v>173</x:v>
      </x:c>
      <x:c r="B71" s="1821" t="s">
        <x:v>174</x:v>
      </x:c>
      <x:c r="C71" s="1501" t="s">
        <x:v>65</x:v>
      </x:c>
      <x:c r="D71" s="1575">
        <x:v>729.49</x:v>
      </x:c>
      <x:c r="E71" s="1578">
        <x:v>3.85</x:v>
      </x:c>
      <x:c r="F71" s="1575">
        <x:v>0</x:v>
      </x:c>
      <x:c r="G71" s="1575">
        <x:v>0</x:v>
      </x:c>
      <x:c r="H71" s="1578">
        <x:v>0</x:v>
      </x:c>
      <x:c r="I71" s="1592">
        <x:v>0</x:v>
      </x:c>
    </x:row>
    <x:row r="72" ht="31" customHeight="1">
      <x:c r="A72" s="1866" t="s">
        <x:v>175</x:v>
      </x:c>
      <x:c r="B72" s="1823" t="s">
        <x:v>176</x:v>
      </x:c>
      <x:c r="C72" s="249" t="s">
        <x:v>65</x:v>
      </x:c>
      <x:c r="D72" s="1576">
        <x:v>729.49</x:v>
      </x:c>
      <x:c r="E72" s="1579">
        <x:v>4.45</x:v>
      </x:c>
      <x:c r="F72" s="1576">
        <x:v>0</x:v>
      </x:c>
      <x:c r="G72" s="1576">
        <x:v>0</x:v>
      </x:c>
      <x:c r="H72" s="1579">
        <x:v>0</x:v>
      </x:c>
      <x:c r="I72" s="1593">
        <x:v>0</x:v>
      </x:c>
    </x:row>
    <x:row r="73" ht="24" customHeight="1">
      <x:c r="A73" s="1865" t="s">
        <x:v>177</x:v>
      </x:c>
      <x:c r="B73" s="1821" t="s">
        <x:v>178</x:v>
      </x:c>
      <x:c r="C73" s="1501" t="s">
        <x:v>65</x:v>
      </x:c>
      <x:c r="D73" s="1575">
        <x:v>729.49</x:v>
      </x:c>
      <x:c r="E73" s="1578">
        <x:v>19.49</x:v>
      </x:c>
      <x:c r="F73" s="1575">
        <x:v>0</x:v>
      </x:c>
      <x:c r="G73" s="1575">
        <x:v>0</x:v>
      </x:c>
      <x:c r="H73" s="1578">
        <x:v>0</x:v>
      </x:c>
      <x:c r="I73" s="1592">
        <x:v>0</x:v>
      </x:c>
    </x:row>
    <x:row r="74" ht="23" customHeight="1">
      <x:c r="A74" s="792" t="s">
        <x:v>179</x:v>
      </x:c>
      <x:c r="B74" s="539" t="s">
        <x:v>180</x:v>
      </x:c>
      <x:c r="C74" s="539"/>
      <x:c r="D74" s="1859"/>
      <x:c r="E74" s="1860"/>
      <x:c r="F74" s="1859"/>
      <x:c r="G74" s="1859"/>
      <x:c r="H74" s="1860"/>
      <x:c r="I74" s="1862"/>
    </x:row>
    <x:row r="75" ht="31" customHeight="1">
      <x:c r="A75" s="1866" t="s">
        <x:v>181</x:v>
      </x:c>
      <x:c r="B75" s="1823" t="s">
        <x:v>182</x:v>
      </x:c>
      <x:c r="C75" s="249" t="s">
        <x:v>65</x:v>
      </x:c>
      <x:c r="D75" s="1576">
        <x:v>32.23</x:v>
      </x:c>
      <x:c r="E75" s="1579">
        <x:v>2.54</x:v>
      </x:c>
      <x:c r="F75" s="1576">
        <x:v>0</x:v>
      </x:c>
      <x:c r="G75" s="1576">
        <x:v>0</x:v>
      </x:c>
      <x:c r="H75" s="1579">
        <x:v>0</x:v>
      </x:c>
      <x:c r="I75" s="1593">
        <x:v>0</x:v>
      </x:c>
    </x:row>
    <x:row r="76" ht="31" customHeight="1">
      <x:c r="A76" s="1865" t="s">
        <x:v>183</x:v>
      </x:c>
      <x:c r="B76" s="1821" t="s">
        <x:v>184</x:v>
      </x:c>
      <x:c r="C76" s="1501" t="s">
        <x:v>65</x:v>
      </x:c>
      <x:c r="D76" s="1575">
        <x:v>32.23</x:v>
      </x:c>
      <x:c r="E76" s="1578">
        <x:v>20.32</x:v>
      </x:c>
      <x:c r="F76" s="1575">
        <x:v>0</x:v>
      </x:c>
      <x:c r="G76" s="1575">
        <x:v>0</x:v>
      </x:c>
      <x:c r="H76" s="1578">
        <x:v>0</x:v>
      </x:c>
      <x:c r="I76" s="1592">
        <x:v>0</x:v>
      </x:c>
    </x:row>
    <x:row r="77" ht="23" customHeight="1">
      <x:c r="A77" s="774" t="s">
        <x:v>185</x:v>
      </x:c>
      <x:c r="B77" s="515" t="s">
        <x:v>186</x:v>
      </x:c>
      <x:c r="C77" s="515"/>
      <x:c r="D77" s="1855"/>
      <x:c r="E77" s="1856"/>
      <x:c r="F77" s="1855"/>
      <x:c r="G77" s="1855"/>
      <x:c r="H77" s="1856"/>
      <x:c r="I77" s="1858"/>
    </x:row>
    <x:row r="78" ht="23" customHeight="1">
      <x:c r="A78" s="792" t="s">
        <x:v>187</x:v>
      </x:c>
      <x:c r="B78" s="539" t="s">
        <x:v>172</x:v>
      </x:c>
      <x:c r="C78" s="539"/>
      <x:c r="D78" s="1859"/>
      <x:c r="E78" s="1860"/>
      <x:c r="F78" s="1859"/>
      <x:c r="G78" s="1859"/>
      <x:c r="H78" s="1860"/>
      <x:c r="I78" s="1862"/>
    </x:row>
    <x:row r="79" ht="24" customHeight="1">
      <x:c r="A79" s="1866" t="s">
        <x:v>188</x:v>
      </x:c>
      <x:c r="B79" s="1823" t="s">
        <x:v>174</x:v>
      </x:c>
      <x:c r="C79" s="249" t="s">
        <x:v>65</x:v>
      </x:c>
      <x:c r="D79" s="1576">
        <x:v>347.84</x:v>
      </x:c>
      <x:c r="E79" s="1579">
        <x:v>3.85</x:v>
      </x:c>
      <x:c r="F79" s="1576">
        <x:v>0</x:v>
      </x:c>
      <x:c r="G79" s="1576">
        <x:v>0</x:v>
      </x:c>
      <x:c r="H79" s="1579">
        <x:v>0</x:v>
      </x:c>
      <x:c r="I79" s="1593">
        <x:v>0</x:v>
      </x:c>
    </x:row>
    <x:row r="80" ht="31" customHeight="1">
      <x:c r="A80" s="1865" t="s">
        <x:v>189</x:v>
      </x:c>
      <x:c r="B80" s="1821" t="s">
        <x:v>176</x:v>
      </x:c>
      <x:c r="C80" s="1501" t="s">
        <x:v>65</x:v>
      </x:c>
      <x:c r="D80" s="1575">
        <x:v>347.84</x:v>
      </x:c>
      <x:c r="E80" s="1578">
        <x:v>4.45</x:v>
      </x:c>
      <x:c r="F80" s="1575">
        <x:v>0</x:v>
      </x:c>
      <x:c r="G80" s="1575">
        <x:v>0</x:v>
      </x:c>
      <x:c r="H80" s="1578">
        <x:v>0</x:v>
      </x:c>
      <x:c r="I80" s="1592">
        <x:v>0</x:v>
      </x:c>
    </x:row>
    <x:row r="81" ht="24" customHeight="1">
      <x:c r="A81" s="1866" t="s">
        <x:v>190</x:v>
      </x:c>
      <x:c r="B81" s="1823" t="s">
        <x:v>178</x:v>
      </x:c>
      <x:c r="C81" s="249" t="s">
        <x:v>65</x:v>
      </x:c>
      <x:c r="D81" s="1576">
        <x:v>347.84</x:v>
      </x:c>
      <x:c r="E81" s="1579">
        <x:v>19.49</x:v>
      </x:c>
      <x:c r="F81" s="1576">
        <x:v>0</x:v>
      </x:c>
      <x:c r="G81" s="1576">
        <x:v>0</x:v>
      </x:c>
      <x:c r="H81" s="1579">
        <x:v>0</x:v>
      </x:c>
      <x:c r="I81" s="1593">
        <x:v>0</x:v>
      </x:c>
    </x:row>
    <x:row r="82" ht="23" customHeight="1">
      <x:c r="A82" s="774" t="s">
        <x:v>191</x:v>
      </x:c>
      <x:c r="B82" s="515" t="s">
        <x:v>192</x:v>
      </x:c>
      <x:c r="C82" s="515"/>
      <x:c r="D82" s="1855"/>
      <x:c r="E82" s="1856"/>
      <x:c r="F82" s="1855"/>
      <x:c r="G82" s="1855"/>
      <x:c r="H82" s="1856"/>
      <x:c r="I82" s="1858"/>
    </x:row>
    <x:row r="83" ht="43" customHeight="1">
      <x:c r="A83" s="1865" t="s">
        <x:v>193</x:v>
      </x:c>
      <x:c r="B83" s="1821" t="s">
        <x:v>194</x:v>
      </x:c>
      <x:c r="C83" s="1501" t="s">
        <x:v>65</x:v>
      </x:c>
      <x:c r="D83" s="1575">
        <x:v>407.63</x:v>
      </x:c>
      <x:c r="E83" s="1578">
        <x:v>5.65</x:v>
      </x:c>
      <x:c r="F83" s="1575">
        <x:v>0</x:v>
      </x:c>
      <x:c r="G83" s="1575">
        <x:v>0</x:v>
      </x:c>
      <x:c r="H83" s="1578">
        <x:v>0</x:v>
      </x:c>
      <x:c r="I83" s="1592">
        <x:v>0</x:v>
      </x:c>
    </x:row>
    <x:row r="84" ht="43" customHeight="1">
      <x:c r="A84" s="1866" t="s">
        <x:v>195</x:v>
      </x:c>
      <x:c r="B84" s="1823" t="s">
        <x:v>196</x:v>
      </x:c>
      <x:c r="C84" s="249" t="s">
        <x:v>65</x:v>
      </x:c>
      <x:c r="D84" s="1576">
        <x:v>407.63</x:v>
      </x:c>
      <x:c r="E84" s="1579">
        <x:v>45.91</x:v>
      </x:c>
      <x:c r="F84" s="1576">
        <x:v>0</x:v>
      </x:c>
      <x:c r="G84" s="1576">
        <x:v>0</x:v>
      </x:c>
      <x:c r="H84" s="1579">
        <x:v>0</x:v>
      </x:c>
      <x:c r="I84" s="1593">
        <x:v>0</x:v>
      </x:c>
    </x:row>
    <x:row r="85" ht="31" customHeight="1">
      <x:c r="A85" s="1865" t="s">
        <x:v>197</x:v>
      </x:c>
      <x:c r="B85" s="1821" t="s">
        <x:v>198</x:v>
      </x:c>
      <x:c r="C85" s="1501" t="s">
        <x:v>73</x:v>
      </x:c>
      <x:c r="D85" s="1575">
        <x:v>16</x:v>
      </x:c>
      <x:c r="E85" s="1578">
        <x:v>99.3</x:v>
      </x:c>
      <x:c r="F85" s="1575">
        <x:v>0</x:v>
      </x:c>
      <x:c r="G85" s="1575">
        <x:v>0</x:v>
      </x:c>
      <x:c r="H85" s="1578">
        <x:v>0</x:v>
      </x:c>
      <x:c r="I85" s="1592">
        <x:v>0</x:v>
      </x:c>
    </x:row>
    <x:row r="86" ht="43" customHeight="1">
      <x:c r="A86" s="1866" t="s">
        <x:v>199</x:v>
      </x:c>
      <x:c r="B86" s="1823" t="s">
        <x:v>200</x:v>
      </x:c>
      <x:c r="C86" s="249" t="s">
        <x:v>152</x:v>
      </x:c>
      <x:c r="D86" s="1576">
        <x:v>16</x:v>
      </x:c>
      <x:c r="E86" s="1579">
        <x:v>220.07</x:v>
      </x:c>
      <x:c r="F86" s="1576">
        <x:v>0</x:v>
      </x:c>
      <x:c r="G86" s="1576">
        <x:v>0</x:v>
      </x:c>
      <x:c r="H86" s="1579">
        <x:v>0</x:v>
      </x:c>
      <x:c r="I86" s="1593">
        <x:v>0</x:v>
      </x:c>
    </x:row>
    <x:row r="87" ht="31" customHeight="1">
      <x:c r="A87" s="1865" t="s">
        <x:v>201</x:v>
      </x:c>
      <x:c r="B87" s="1821" t="s">
        <x:v>202</x:v>
      </x:c>
      <x:c r="C87" s="1501" t="s">
        <x:v>152</x:v>
      </x:c>
      <x:c r="D87" s="1575">
        <x:v>29.21</x:v>
      </x:c>
      <x:c r="E87" s="1578">
        <x:v>76.04</x:v>
      </x:c>
      <x:c r="F87" s="1575">
        <x:v>0</x:v>
      </x:c>
      <x:c r="G87" s="1575">
        <x:v>0</x:v>
      </x:c>
      <x:c r="H87" s="1578">
        <x:v>0</x:v>
      </x:c>
      <x:c r="I87" s="1592">
        <x:v>0</x:v>
      </x:c>
    </x:row>
    <x:row r="88" ht="23" customHeight="1">
      <x:c r="A88" s="774" t="s">
        <x:v>203</x:v>
      </x:c>
      <x:c r="B88" s="515" t="s">
        <x:v>204</x:v>
      </x:c>
      <x:c r="C88" s="515"/>
      <x:c r="D88" s="1855"/>
      <x:c r="E88" s="1856"/>
      <x:c r="F88" s="1855"/>
      <x:c r="G88" s="1855"/>
      <x:c r="H88" s="1856"/>
      <x:c r="I88" s="1858"/>
    </x:row>
    <x:row r="89" ht="23" customHeight="1">
      <x:c r="A89" s="792" t="s">
        <x:v>205</x:v>
      </x:c>
      <x:c r="B89" s="539" t="s">
        <x:v>206</x:v>
      </x:c>
      <x:c r="C89" s="539"/>
      <x:c r="D89" s="1859"/>
      <x:c r="E89" s="1860"/>
      <x:c r="F89" s="1859"/>
      <x:c r="G89" s="1859"/>
      <x:c r="H89" s="1860"/>
      <x:c r="I89" s="1862"/>
    </x:row>
    <x:row r="90" ht="31" customHeight="1">
      <x:c r="A90" s="1866" t="s">
        <x:v>207</x:v>
      </x:c>
      <x:c r="B90" s="1823" t="s">
        <x:v>208</x:v>
      </x:c>
      <x:c r="C90" s="249" t="s">
        <x:v>73</x:v>
      </x:c>
      <x:c r="D90" s="1576">
        <x:v>11</x:v>
      </x:c>
      <x:c r="E90" s="1579">
        <x:v>14.53</x:v>
      </x:c>
      <x:c r="F90" s="1576">
        <x:v>0</x:v>
      </x:c>
      <x:c r="G90" s="1576">
        <x:v>0</x:v>
      </x:c>
      <x:c r="H90" s="1579">
        <x:v>0</x:v>
      </x:c>
      <x:c r="I90" s="1593">
        <x:v>0</x:v>
      </x:c>
    </x:row>
    <x:row r="91" ht="43" customHeight="1">
      <x:c r="A91" s="1865" t="s">
        <x:v>209</x:v>
      </x:c>
      <x:c r="B91" s="1821" t="s">
        <x:v>210</x:v>
      </x:c>
      <x:c r="C91" s="1501" t="s">
        <x:v>73</x:v>
      </x:c>
      <x:c r="D91" s="1575">
        <x:v>3</x:v>
      </x:c>
      <x:c r="E91" s="1578">
        <x:v>311.89</x:v>
      </x:c>
      <x:c r="F91" s="1575">
        <x:v>0</x:v>
      </x:c>
      <x:c r="G91" s="1575">
        <x:v>0</x:v>
      </x:c>
      <x:c r="H91" s="1578">
        <x:v>0</x:v>
      </x:c>
      <x:c r="I91" s="1592">
        <x:v>0</x:v>
      </x:c>
    </x:row>
    <x:row r="92" ht="43" customHeight="1">
      <x:c r="A92" s="1866" t="s">
        <x:v>211</x:v>
      </x:c>
      <x:c r="B92" s="1823" t="s">
        <x:v>212</x:v>
      </x:c>
      <x:c r="C92" s="249" t="s">
        <x:v>73</x:v>
      </x:c>
      <x:c r="D92" s="1576">
        <x:v>3</x:v>
      </x:c>
      <x:c r="E92" s="1579">
        <x:v>101.46</x:v>
      </x:c>
      <x:c r="F92" s="1576">
        <x:v>0</x:v>
      </x:c>
      <x:c r="G92" s="1576">
        <x:v>0</x:v>
      </x:c>
      <x:c r="H92" s="1579">
        <x:v>0</x:v>
      </x:c>
      <x:c r="I92" s="1593">
        <x:v>0</x:v>
      </x:c>
    </x:row>
    <x:row r="93" ht="31" customHeight="1">
      <x:c r="A93" s="1865" t="s">
        <x:v>213</x:v>
      </x:c>
      <x:c r="B93" s="1821" t="s">
        <x:v>214</x:v>
      </x:c>
      <x:c r="C93" s="1501" t="s">
        <x:v>73</x:v>
      </x:c>
      <x:c r="D93" s="1575">
        <x:v>11</x:v>
      </x:c>
      <x:c r="E93" s="1578">
        <x:v>9.8</x:v>
      </x:c>
      <x:c r="F93" s="1575">
        <x:v>0</x:v>
      </x:c>
      <x:c r="G93" s="1575">
        <x:v>0</x:v>
      </x:c>
      <x:c r="H93" s="1578">
        <x:v>0</x:v>
      </x:c>
      <x:c r="I93" s="1592">
        <x:v>0</x:v>
      </x:c>
    </x:row>
    <x:row r="94" ht="43" customHeight="1">
      <x:c r="A94" s="1866" t="s">
        <x:v>215</x:v>
      </x:c>
      <x:c r="B94" s="1823" t="s">
        <x:v>216</x:v>
      </x:c>
      <x:c r="C94" s="249" t="s">
        <x:v>152</x:v>
      </x:c>
      <x:c r="D94" s="1576">
        <x:v>76.5</x:v>
      </x:c>
      <x:c r="E94" s="1579">
        <x:v>27.12</x:v>
      </x:c>
      <x:c r="F94" s="1576">
        <x:v>0</x:v>
      </x:c>
      <x:c r="G94" s="1576">
        <x:v>0</x:v>
      </x:c>
      <x:c r="H94" s="1579">
        <x:v>0</x:v>
      </x:c>
      <x:c r="I94" s="1593">
        <x:v>0</x:v>
      </x:c>
    </x:row>
    <x:row r="95" ht="43" customHeight="1">
      <x:c r="A95" s="1865" t="s">
        <x:v>217</x:v>
      </x:c>
      <x:c r="B95" s="1821" t="s">
        <x:v>218</x:v>
      </x:c>
      <x:c r="C95" s="1501" t="s">
        <x:v>152</x:v>
      </x:c>
      <x:c r="D95" s="1575">
        <x:v>28.5</x:v>
      </x:c>
      <x:c r="E95" s="1578">
        <x:v>16.44</x:v>
      </x:c>
      <x:c r="F95" s="1575">
        <x:v>0</x:v>
      </x:c>
      <x:c r="G95" s="1575">
        <x:v>0</x:v>
      </x:c>
      <x:c r="H95" s="1578">
        <x:v>0</x:v>
      </x:c>
      <x:c r="I95" s="1592">
        <x:v>0</x:v>
      </x:c>
    </x:row>
    <x:row r="96" ht="31" customHeight="1">
      <x:c r="A96" s="1866" t="s">
        <x:v>219</x:v>
      </x:c>
      <x:c r="B96" s="1823" t="s">
        <x:v>220</x:v>
      </x:c>
      <x:c r="C96" s="249" t="s">
        <x:v>152</x:v>
      </x:c>
      <x:c r="D96" s="1576">
        <x:v>19</x:v>
      </x:c>
      <x:c r="E96" s="1579">
        <x:v>9.12</x:v>
      </x:c>
      <x:c r="F96" s="1576">
        <x:v>0</x:v>
      </x:c>
      <x:c r="G96" s="1576">
        <x:v>0</x:v>
      </x:c>
      <x:c r="H96" s="1579">
        <x:v>0</x:v>
      </x:c>
      <x:c r="I96" s="1593">
        <x:v>0</x:v>
      </x:c>
    </x:row>
    <x:row r="97" ht="23" customHeight="1">
      <x:c r="A97" s="792" t="s">
        <x:v>221</x:v>
      </x:c>
      <x:c r="B97" s="539" t="s">
        <x:v>222</x:v>
      </x:c>
      <x:c r="C97" s="539"/>
      <x:c r="D97" s="1859"/>
      <x:c r="E97" s="1860"/>
      <x:c r="F97" s="1859"/>
      <x:c r="G97" s="1859"/>
      <x:c r="H97" s="1860"/>
      <x:c r="I97" s="1862"/>
    </x:row>
    <x:row r="98" ht="31" customHeight="1">
      <x:c r="A98" s="1865" t="s">
        <x:v>223</x:v>
      </x:c>
      <x:c r="B98" s="1821" t="s">
        <x:v>224</x:v>
      </x:c>
      <x:c r="C98" s="1501" t="s">
        <x:v>73</x:v>
      </x:c>
      <x:c r="D98" s="1575">
        <x:v>25</x:v>
      </x:c>
      <x:c r="E98" s="1578">
        <x:v>39.45</x:v>
      </x:c>
      <x:c r="F98" s="1575">
        <x:v>0</x:v>
      </x:c>
      <x:c r="G98" s="1575">
        <x:v>0</x:v>
      </x:c>
      <x:c r="H98" s="1578">
        <x:v>0</x:v>
      </x:c>
      <x:c r="I98" s="1592">
        <x:v>0</x:v>
      </x:c>
    </x:row>
    <x:row r="99" ht="31" customHeight="1">
      <x:c r="A99" s="1866" t="s">
        <x:v>225</x:v>
      </x:c>
      <x:c r="B99" s="1823" t="s">
        <x:v>226</x:v>
      </x:c>
      <x:c r="C99" s="249" t="s">
        <x:v>73</x:v>
      </x:c>
      <x:c r="D99" s="1576">
        <x:v>36</x:v>
      </x:c>
      <x:c r="E99" s="1579">
        <x:v>22.73</x:v>
      </x:c>
      <x:c r="F99" s="1576">
        <x:v>0</x:v>
      </x:c>
      <x:c r="G99" s="1576">
        <x:v>0</x:v>
      </x:c>
      <x:c r="H99" s="1579">
        <x:v>0</x:v>
      </x:c>
      <x:c r="I99" s="1593">
        <x:v>0</x:v>
      </x:c>
    </x:row>
    <x:row r="100" ht="31" customHeight="1">
      <x:c r="A100" s="1865" t="s">
        <x:v>227</x:v>
      </x:c>
      <x:c r="B100" s="1821" t="s">
        <x:v>208</x:v>
      </x:c>
      <x:c r="C100" s="1501" t="s">
        <x:v>73</x:v>
      </x:c>
      <x:c r="D100" s="1575">
        <x:v>41</x:v>
      </x:c>
      <x:c r="E100" s="1578">
        <x:v>14.53</x:v>
      </x:c>
      <x:c r="F100" s="1575">
        <x:v>0</x:v>
      </x:c>
      <x:c r="G100" s="1575">
        <x:v>0</x:v>
      </x:c>
      <x:c r="H100" s="1578">
        <x:v>0</x:v>
      </x:c>
      <x:c r="I100" s="1592">
        <x:v>0</x:v>
      </x:c>
    </x:row>
    <x:row r="101" ht="31" customHeight="1">
      <x:c r="A101" s="1866" t="s">
        <x:v>228</x:v>
      </x:c>
      <x:c r="B101" s="1823" t="s">
        <x:v>229</x:v>
      </x:c>
      <x:c r="C101" s="249" t="s">
        <x:v>73</x:v>
      </x:c>
      <x:c r="D101" s="1576">
        <x:v>40</x:v>
      </x:c>
      <x:c r="E101" s="1579">
        <x:v>22.61</x:v>
      </x:c>
      <x:c r="F101" s="1576">
        <x:v>0</x:v>
      </x:c>
      <x:c r="G101" s="1576">
        <x:v>0</x:v>
      </x:c>
      <x:c r="H101" s="1579">
        <x:v>0</x:v>
      </x:c>
      <x:c r="I101" s="1593">
        <x:v>0</x:v>
      </x:c>
    </x:row>
    <x:row r="102" ht="23" customHeight="1">
      <x:c r="A102" s="792" t="s">
        <x:v>230</x:v>
      </x:c>
      <x:c r="B102" s="539" t="s">
        <x:v>231</x:v>
      </x:c>
      <x:c r="C102" s="539"/>
      <x:c r="D102" s="1859"/>
      <x:c r="E102" s="1860"/>
      <x:c r="F102" s="1859"/>
      <x:c r="G102" s="1859"/>
      <x:c r="H102" s="1860"/>
      <x:c r="I102" s="1862"/>
    </x:row>
    <x:row r="103" ht="24" customHeight="1">
      <x:c r="A103" s="1865" t="s">
        <x:v>232</x:v>
      </x:c>
      <x:c r="B103" s="1821" t="s">
        <x:v>233</x:v>
      </x:c>
      <x:c r="C103" s="1501" t="s">
        <x:v>152</x:v>
      </x:c>
      <x:c r="D103" s="1575">
        <x:v>163.5</x:v>
      </x:c>
      <x:c r="E103" s="1578">
        <x:v>29.91</x:v>
      </x:c>
      <x:c r="F103" s="1575">
        <x:v>0</x:v>
      </x:c>
      <x:c r="G103" s="1575">
        <x:v>0</x:v>
      </x:c>
      <x:c r="H103" s="1578">
        <x:v>0</x:v>
      </x:c>
      <x:c r="I103" s="1592">
        <x:v>0</x:v>
      </x:c>
    </x:row>
    <x:row r="104" ht="43" customHeight="1">
      <x:c r="A104" s="1866" t="s">
        <x:v>234</x:v>
      </x:c>
      <x:c r="B104" s="1823" t="s">
        <x:v>235</x:v>
      </x:c>
      <x:c r="C104" s="249" t="s">
        <x:v>152</x:v>
      </x:c>
      <x:c r="D104" s="1576">
        <x:v>710</x:v>
      </x:c>
      <x:c r="E104" s="1579">
        <x:v>3.58</x:v>
      </x:c>
      <x:c r="F104" s="1576">
        <x:v>0</x:v>
      </x:c>
      <x:c r="G104" s="1576">
        <x:v>0</x:v>
      </x:c>
      <x:c r="H104" s="1579">
        <x:v>0</x:v>
      </x:c>
      <x:c r="I104" s="1593">
        <x:v>0</x:v>
      </x:c>
    </x:row>
    <x:row r="105" ht="43" customHeight="1">
      <x:c r="A105" s="1865" t="s">
        <x:v>236</x:v>
      </x:c>
      <x:c r="B105" s="1821" t="s">
        <x:v>237</x:v>
      </x:c>
      <x:c r="C105" s="1501" t="s">
        <x:v>152</x:v>
      </x:c>
      <x:c r="D105" s="1575">
        <x:v>1210</x:v>
      </x:c>
      <x:c r="E105" s="1578">
        <x:v>5.16</x:v>
      </x:c>
      <x:c r="F105" s="1575">
        <x:v>0</x:v>
      </x:c>
      <x:c r="G105" s="1575">
        <x:v>0</x:v>
      </x:c>
      <x:c r="H105" s="1578">
        <x:v>0</x:v>
      </x:c>
      <x:c r="I105" s="1592">
        <x:v>0</x:v>
      </x:c>
    </x:row>
    <x:row r="106" ht="31" customHeight="1">
      <x:c r="A106" s="1866" t="s">
        <x:v>238</x:v>
      </x:c>
      <x:c r="B106" s="1823" t="s">
        <x:v>239</x:v>
      </x:c>
      <x:c r="C106" s="249" t="s">
        <x:v>152</x:v>
      </x:c>
      <x:c r="D106" s="1576">
        <x:v>58.3</x:v>
      </x:c>
      <x:c r="E106" s="1579">
        <x:v>7.95</x:v>
      </x:c>
      <x:c r="F106" s="1576">
        <x:v>0</x:v>
      </x:c>
      <x:c r="G106" s="1576">
        <x:v>0</x:v>
      </x:c>
      <x:c r="H106" s="1579">
        <x:v>0</x:v>
      </x:c>
      <x:c r="I106" s="1593">
        <x:v>0</x:v>
      </x:c>
    </x:row>
    <x:row r="107" ht="31" customHeight="1">
      <x:c r="A107" s="1865" t="s">
        <x:v>240</x:v>
      </x:c>
      <x:c r="B107" s="1821" t="s">
        <x:v>241</x:v>
      </x:c>
      <x:c r="C107" s="1501" t="s">
        <x:v>152</x:v>
      </x:c>
      <x:c r="D107" s="1575">
        <x:v>108</x:v>
      </x:c>
      <x:c r="E107" s="1578">
        <x:v>11.09</x:v>
      </x:c>
      <x:c r="F107" s="1575">
        <x:v>0</x:v>
      </x:c>
      <x:c r="G107" s="1575">
        <x:v>0</x:v>
      </x:c>
      <x:c r="H107" s="1578">
        <x:v>0</x:v>
      </x:c>
      <x:c r="I107" s="1592">
        <x:v>0</x:v>
      </x:c>
    </x:row>
    <x:row r="108" ht="23" customHeight="1">
      <x:c r="A108" s="792" t="s">
        <x:v>242</x:v>
      </x:c>
      <x:c r="B108" s="539" t="s">
        <x:v>243</x:v>
      </x:c>
      <x:c r="C108" s="539"/>
      <x:c r="D108" s="1859"/>
      <x:c r="E108" s="1860"/>
      <x:c r="F108" s="1859"/>
      <x:c r="G108" s="1859"/>
      <x:c r="H108" s="1860"/>
      <x:c r="I108" s="1862"/>
    </x:row>
    <x:row r="109" ht="43" customHeight="1">
      <x:c r="A109" s="1866" t="s">
        <x:v>244</x:v>
      </x:c>
      <x:c r="B109" s="1823" t="s">
        <x:v>245</x:v>
      </x:c>
      <x:c r="C109" s="249" t="s">
        <x:v>73</x:v>
      </x:c>
      <x:c r="D109" s="1576">
        <x:v>3</x:v>
      </x:c>
      <x:c r="E109" s="1579">
        <x:v>601.6</x:v>
      </x:c>
      <x:c r="F109" s="1576">
        <x:v>0</x:v>
      </x:c>
      <x:c r="G109" s="1576">
        <x:v>0</x:v>
      </x:c>
      <x:c r="H109" s="1579">
        <x:v>0</x:v>
      </x:c>
      <x:c r="I109" s="1593">
        <x:v>0</x:v>
      </x:c>
    </x:row>
    <x:row r="110" ht="43" customHeight="1">
      <x:c r="A110" s="1865" t="s">
        <x:v>246</x:v>
      </x:c>
      <x:c r="B110" s="1821" t="s">
        <x:v>247</x:v>
      </x:c>
      <x:c r="C110" s="1501" t="s">
        <x:v>73</x:v>
      </x:c>
      <x:c r="D110" s="1575">
        <x:v>1</x:v>
      </x:c>
      <x:c r="E110" s="1578">
        <x:v>101.46</x:v>
      </x:c>
      <x:c r="F110" s="1575">
        <x:v>0</x:v>
      </x:c>
      <x:c r="G110" s="1575">
        <x:v>0</x:v>
      </x:c>
      <x:c r="H110" s="1578">
        <x:v>0</x:v>
      </x:c>
      <x:c r="I110" s="1592">
        <x:v>0</x:v>
      </x:c>
    </x:row>
    <x:row r="111" ht="23" customHeight="1">
      <x:c r="A111" s="792" t="s">
        <x:v>248</x:v>
      </x:c>
      <x:c r="B111" s="539" t="s">
        <x:v>249</x:v>
      </x:c>
      <x:c r="C111" s="539"/>
      <x:c r="D111" s="1859"/>
      <x:c r="E111" s="1860"/>
      <x:c r="F111" s="1859"/>
      <x:c r="G111" s="1859"/>
      <x:c r="H111" s="1860"/>
      <x:c r="I111" s="1862"/>
    </x:row>
    <x:row r="112" ht="31" customHeight="1">
      <x:c r="A112" s="1866" t="s">
        <x:v>250</x:v>
      </x:c>
      <x:c r="B112" s="1823" t="s">
        <x:v>251</x:v>
      </x:c>
      <x:c r="C112" s="249" t="s">
        <x:v>73</x:v>
      </x:c>
      <x:c r="D112" s="1576">
        <x:v>19</x:v>
      </x:c>
      <x:c r="E112" s="1579">
        <x:v>38.56</x:v>
      </x:c>
      <x:c r="F112" s="1576">
        <x:v>0</x:v>
      </x:c>
      <x:c r="G112" s="1576">
        <x:v>0</x:v>
      </x:c>
      <x:c r="H112" s="1579">
        <x:v>0</x:v>
      </x:c>
      <x:c r="I112" s="1593">
        <x:v>0</x:v>
      </x:c>
    </x:row>
    <x:row r="113" ht="31" customHeight="1">
      <x:c r="A113" s="1865" t="s">
        <x:v>252</x:v>
      </x:c>
      <x:c r="B113" s="1821" t="s">
        <x:v>253</x:v>
      </x:c>
      <x:c r="C113" s="1501" t="s">
        <x:v>73</x:v>
      </x:c>
      <x:c r="D113" s="1575">
        <x:v>2</x:v>
      </x:c>
      <x:c r="E113" s="1578">
        <x:v>58.87</x:v>
      </x:c>
      <x:c r="F113" s="1575">
        <x:v>0</x:v>
      </x:c>
      <x:c r="G113" s="1575">
        <x:v>0</x:v>
      </x:c>
      <x:c r="H113" s="1578">
        <x:v>0</x:v>
      </x:c>
      <x:c r="I113" s="1592">
        <x:v>0</x:v>
      </x:c>
    </x:row>
    <x:row r="114" ht="31" customHeight="1">
      <x:c r="A114" s="1866" t="s">
        <x:v>254</x:v>
      </x:c>
      <x:c r="B114" s="1823" t="s">
        <x:v>255</x:v>
      </x:c>
      <x:c r="C114" s="249" t="s">
        <x:v>73</x:v>
      </x:c>
      <x:c r="D114" s="1576">
        <x:v>4</x:v>
      </x:c>
      <x:c r="E114" s="1579">
        <x:v>64.09</x:v>
      </x:c>
      <x:c r="F114" s="1576">
        <x:v>0</x:v>
      </x:c>
      <x:c r="G114" s="1576">
        <x:v>0</x:v>
      </x:c>
      <x:c r="H114" s="1579">
        <x:v>0</x:v>
      </x:c>
      <x:c r="I114" s="1593">
        <x:v>0</x:v>
      </x:c>
    </x:row>
    <x:row r="115" ht="31" customHeight="1">
      <x:c r="A115" s="1865" t="s">
        <x:v>256</x:v>
      </x:c>
      <x:c r="B115" s="1821" t="s">
        <x:v>257</x:v>
      </x:c>
      <x:c r="C115" s="1501" t="s">
        <x:v>73</x:v>
      </x:c>
      <x:c r="D115" s="1575">
        <x:v>10</x:v>
      </x:c>
      <x:c r="E115" s="1578">
        <x:v>60.83</x:v>
      </x:c>
      <x:c r="F115" s="1575">
        <x:v>0</x:v>
      </x:c>
      <x:c r="G115" s="1575">
        <x:v>0</x:v>
      </x:c>
      <x:c r="H115" s="1578">
        <x:v>0</x:v>
      </x:c>
      <x:c r="I115" s="1592">
        <x:v>0</x:v>
      </x:c>
    </x:row>
    <x:row r="116" ht="31" customHeight="1">
      <x:c r="A116" s="1866" t="s">
        <x:v>258</x:v>
      </x:c>
      <x:c r="B116" s="1823" t="s">
        <x:v>259</x:v>
      </x:c>
      <x:c r="C116" s="249" t="s">
        <x:v>73</x:v>
      </x:c>
      <x:c r="D116" s="1576">
        <x:v>12</x:v>
      </x:c>
      <x:c r="E116" s="1579">
        <x:v>57.86</x:v>
      </x:c>
      <x:c r="F116" s="1576">
        <x:v>0</x:v>
      </x:c>
      <x:c r="G116" s="1576">
        <x:v>0</x:v>
      </x:c>
      <x:c r="H116" s="1579">
        <x:v>0</x:v>
      </x:c>
      <x:c r="I116" s="1593">
        <x:v>0</x:v>
      </x:c>
    </x:row>
    <x:row r="117" ht="31" customHeight="1">
      <x:c r="A117" s="1865" t="s">
        <x:v>260</x:v>
      </x:c>
      <x:c r="B117" s="1821" t="s">
        <x:v>261</x:v>
      </x:c>
      <x:c r="C117" s="1501" t="s">
        <x:v>73</x:v>
      </x:c>
      <x:c r="D117" s="1575">
        <x:v>11</x:v>
      </x:c>
      <x:c r="E117" s="1578">
        <x:v>45.32</x:v>
      </x:c>
      <x:c r="F117" s="1575">
        <x:v>0</x:v>
      </x:c>
      <x:c r="G117" s="1575">
        <x:v>0</x:v>
      </x:c>
      <x:c r="H117" s="1578">
        <x:v>0</x:v>
      </x:c>
      <x:c r="I117" s="1592">
        <x:v>0</x:v>
      </x:c>
    </x:row>
    <x:row r="118" ht="31" customHeight="1">
      <x:c r="A118" s="1866" t="s">
        <x:v>262</x:v>
      </x:c>
      <x:c r="B118" s="1823" t="s">
        <x:v>263</x:v>
      </x:c>
      <x:c r="C118" s="249" t="s">
        <x:v>73</x:v>
      </x:c>
      <x:c r="D118" s="1576">
        <x:v>41</x:v>
      </x:c>
      <x:c r="E118" s="1579">
        <x:v>40.5</x:v>
      </x:c>
      <x:c r="F118" s="1576">
        <x:v>0</x:v>
      </x:c>
      <x:c r="G118" s="1576">
        <x:v>0</x:v>
      </x:c>
      <x:c r="H118" s="1579">
        <x:v>0</x:v>
      </x:c>
      <x:c r="I118" s="1593">
        <x:v>0</x:v>
      </x:c>
    </x:row>
    <x:row r="119" ht="23" customHeight="1">
      <x:c r="A119" s="792" t="s">
        <x:v>264</x:v>
      </x:c>
      <x:c r="B119" s="539" t="s">
        <x:v>265</x:v>
      </x:c>
      <x:c r="C119" s="539"/>
      <x:c r="D119" s="1859"/>
      <x:c r="E119" s="1860"/>
      <x:c r="F119" s="1859"/>
      <x:c r="G119" s="1859"/>
      <x:c r="H119" s="1860"/>
      <x:c r="I119" s="1862"/>
    </x:row>
    <x:row r="120" ht="31" customHeight="1">
      <x:c r="A120" s="1865" t="s">
        <x:v>266</x:v>
      </x:c>
      <x:c r="B120" s="1821" t="s">
        <x:v>267</x:v>
      </x:c>
      <x:c r="C120" s="1501" t="s">
        <x:v>73</x:v>
      </x:c>
      <x:c r="D120" s="1575">
        <x:v>1</x:v>
      </x:c>
      <x:c r="E120" s="1578">
        <x:v>12.85</x:v>
      </x:c>
      <x:c r="F120" s="1575">
        <x:v>0</x:v>
      </x:c>
      <x:c r="G120" s="1575">
        <x:v>0</x:v>
      </x:c>
      <x:c r="H120" s="1578">
        <x:v>0</x:v>
      </x:c>
      <x:c r="I120" s="1592">
        <x:v>0</x:v>
      </x:c>
    </x:row>
    <x:row r="121" ht="31" customHeight="1">
      <x:c r="A121" s="1866" t="s">
        <x:v>268</x:v>
      </x:c>
      <x:c r="B121" s="1823" t="s">
        <x:v>269</x:v>
      </x:c>
      <x:c r="C121" s="249" t="s">
        <x:v>73</x:v>
      </x:c>
      <x:c r="D121" s="1576">
        <x:v>5</x:v>
      </x:c>
      <x:c r="E121" s="1579">
        <x:v>12.85</x:v>
      </x:c>
      <x:c r="F121" s="1576">
        <x:v>0</x:v>
      </x:c>
      <x:c r="G121" s="1576">
        <x:v>0</x:v>
      </x:c>
      <x:c r="H121" s="1579">
        <x:v>0</x:v>
      </x:c>
      <x:c r="I121" s="1593">
        <x:v>0</x:v>
      </x:c>
    </x:row>
    <x:row r="122" ht="31" customHeight="1">
      <x:c r="A122" s="1865" t="s">
        <x:v>270</x:v>
      </x:c>
      <x:c r="B122" s="1821" t="s">
        <x:v>271</x:v>
      </x:c>
      <x:c r="C122" s="1501" t="s">
        <x:v>73</x:v>
      </x:c>
      <x:c r="D122" s="1575">
        <x:v>14</x:v>
      </x:c>
      <x:c r="E122" s="1578">
        <x:v>13.99</x:v>
      </x:c>
      <x:c r="F122" s="1575">
        <x:v>0</x:v>
      </x:c>
      <x:c r="G122" s="1575">
        <x:v>0</x:v>
      </x:c>
      <x:c r="H122" s="1578">
        <x:v>0</x:v>
      </x:c>
      <x:c r="I122" s="1592">
        <x:v>0</x:v>
      </x:c>
    </x:row>
    <x:row r="123" ht="31" customHeight="1">
      <x:c r="A123" s="1866" t="s">
        <x:v>272</x:v>
      </x:c>
      <x:c r="B123" s="1823" t="s">
        <x:v>273</x:v>
      </x:c>
      <x:c r="C123" s="249" t="s">
        <x:v>73</x:v>
      </x:c>
      <x:c r="D123" s="1576">
        <x:v>3</x:v>
      </x:c>
      <x:c r="E123" s="1579">
        <x:v>24.11</x:v>
      </x:c>
      <x:c r="F123" s="1576">
        <x:v>0</x:v>
      </x:c>
      <x:c r="G123" s="1576">
        <x:v>0</x:v>
      </x:c>
      <x:c r="H123" s="1579">
        <x:v>0</x:v>
      </x:c>
      <x:c r="I123" s="1593">
        <x:v>0</x:v>
      </x:c>
    </x:row>
    <x:row r="124" ht="31" customHeight="1">
      <x:c r="A124" s="1865" t="s">
        <x:v>274</x:v>
      </x:c>
      <x:c r="B124" s="1821" t="s">
        <x:v>275</x:v>
      </x:c>
      <x:c r="C124" s="1501" t="s">
        <x:v>73</x:v>
      </x:c>
      <x:c r="D124" s="1575">
        <x:v>1</x:v>
      </x:c>
      <x:c r="E124" s="1578">
        <x:v>122.04</x:v>
      </x:c>
      <x:c r="F124" s="1575">
        <x:v>0</x:v>
      </x:c>
      <x:c r="G124" s="1575">
        <x:v>0</x:v>
      </x:c>
      <x:c r="H124" s="1578">
        <x:v>0</x:v>
      </x:c>
      <x:c r="I124" s="1592">
        <x:v>0</x:v>
      </x:c>
    </x:row>
    <x:row r="125" ht="31" customHeight="1">
      <x:c r="A125" s="1866" t="s">
        <x:v>276</x:v>
      </x:c>
      <x:c r="B125" s="1823" t="s">
        <x:v>277</x:v>
      </x:c>
      <x:c r="C125" s="249" t="s">
        <x:v>73</x:v>
      </x:c>
      <x:c r="D125" s="1576">
        <x:v>2</x:v>
      </x:c>
      <x:c r="E125" s="1579">
        <x:v>154.2</x:v>
      </x:c>
      <x:c r="F125" s="1576">
        <x:v>0</x:v>
      </x:c>
      <x:c r="G125" s="1576">
        <x:v>0</x:v>
      </x:c>
      <x:c r="H125" s="1579">
        <x:v>0</x:v>
      </x:c>
      <x:c r="I125" s="1593">
        <x:v>0</x:v>
      </x:c>
    </x:row>
    <x:row r="126" ht="23" customHeight="1">
      <x:c r="A126" s="792" t="s">
        <x:v>278</x:v>
      </x:c>
      <x:c r="B126" s="539" t="s">
        <x:v>279</x:v>
      </x:c>
      <x:c r="C126" s="539"/>
      <x:c r="D126" s="1859"/>
      <x:c r="E126" s="1860"/>
      <x:c r="F126" s="1859"/>
      <x:c r="G126" s="1859"/>
      <x:c r="H126" s="1860"/>
      <x:c r="I126" s="1862"/>
    </x:row>
    <x:row r="127" ht="43" customHeight="1">
      <x:c r="A127" s="1865" t="s">
        <x:v>280</x:v>
      </x:c>
      <x:c r="B127" s="1821" t="s">
        <x:v>216</x:v>
      </x:c>
      <x:c r="C127" s="1501" t="s">
        <x:v>152</x:v>
      </x:c>
      <x:c r="D127" s="1575">
        <x:v>64.5</x:v>
      </x:c>
      <x:c r="E127" s="1578">
        <x:v>27.12</x:v>
      </x:c>
      <x:c r="F127" s="1575">
        <x:v>0</x:v>
      </x:c>
      <x:c r="G127" s="1575">
        <x:v>0</x:v>
      </x:c>
      <x:c r="H127" s="1578">
        <x:v>0</x:v>
      </x:c>
      <x:c r="I127" s="1592">
        <x:v>0</x:v>
      </x:c>
    </x:row>
    <x:row r="128" ht="43" customHeight="1">
      <x:c r="A128" s="1866" t="s">
        <x:v>281</x:v>
      </x:c>
      <x:c r="B128" s="1823" t="s">
        <x:v>282</x:v>
      </x:c>
      <x:c r="C128" s="249" t="s">
        <x:v>152</x:v>
      </x:c>
      <x:c r="D128" s="1576">
        <x:v>12.6</x:v>
      </x:c>
      <x:c r="E128" s="1579">
        <x:v>16.44</x:v>
      </x:c>
      <x:c r="F128" s="1576">
        <x:v>0</x:v>
      </x:c>
      <x:c r="G128" s="1576">
        <x:v>0</x:v>
      </x:c>
      <x:c r="H128" s="1579">
        <x:v>0</x:v>
      </x:c>
      <x:c r="I128" s="1593">
        <x:v>0</x:v>
      </x:c>
    </x:row>
    <x:row r="129" ht="43" customHeight="1">
      <x:c r="A129" s="1865" t="s">
        <x:v>283</x:v>
      </x:c>
      <x:c r="B129" s="1821" t="s">
        <x:v>284</x:v>
      </x:c>
      <x:c r="C129" s="1501" t="s">
        <x:v>152</x:v>
      </x:c>
      <x:c r="D129" s="1575">
        <x:v>215</x:v>
      </x:c>
      <x:c r="E129" s="1578">
        <x:v>23.14</x:v>
      </x:c>
      <x:c r="F129" s="1575">
        <x:v>0</x:v>
      </x:c>
      <x:c r="G129" s="1575">
        <x:v>0</x:v>
      </x:c>
      <x:c r="H129" s="1578">
        <x:v>0</x:v>
      </x:c>
      <x:c r="I129" s="1592">
        <x:v>0</x:v>
      </x:c>
    </x:row>
    <x:row r="130" ht="43" customHeight="1">
      <x:c r="A130" s="1866" t="s">
        <x:v>285</x:v>
      </x:c>
      <x:c r="B130" s="1823" t="s">
        <x:v>286</x:v>
      </x:c>
      <x:c r="C130" s="249" t="s">
        <x:v>152</x:v>
      </x:c>
      <x:c r="D130" s="1576">
        <x:v>180</x:v>
      </x:c>
      <x:c r="E130" s="1579">
        <x:v>12.63</x:v>
      </x:c>
      <x:c r="F130" s="1576">
        <x:v>0</x:v>
      </x:c>
      <x:c r="G130" s="1576">
        <x:v>0</x:v>
      </x:c>
      <x:c r="H130" s="1579">
        <x:v>0</x:v>
      </x:c>
      <x:c r="I130" s="1593">
        <x:v>0</x:v>
      </x:c>
    </x:row>
    <x:row r="131" ht="43" customHeight="1">
      <x:c r="A131" s="1865" t="s">
        <x:v>287</x:v>
      </x:c>
      <x:c r="B131" s="1821" t="s">
        <x:v>288</x:v>
      </x:c>
      <x:c r="C131" s="1501" t="s">
        <x:v>152</x:v>
      </x:c>
      <x:c r="D131" s="1575">
        <x:v>22</x:v>
      </x:c>
      <x:c r="E131" s="1578">
        <x:v>12.63</x:v>
      </x:c>
      <x:c r="F131" s="1575">
        <x:v>0</x:v>
      </x:c>
      <x:c r="G131" s="1575">
        <x:v>0</x:v>
      </x:c>
      <x:c r="H131" s="1578">
        <x:v>0</x:v>
      </x:c>
      <x:c r="I131" s="1592">
        <x:v>0</x:v>
      </x:c>
    </x:row>
    <x:row r="132" ht="31" customHeight="1">
      <x:c r="A132" s="1866" t="s">
        <x:v>289</x:v>
      </x:c>
      <x:c r="B132" s="1823" t="s">
        <x:v>290</x:v>
      </x:c>
      <x:c r="C132" s="249" t="s">
        <x:v>152</x:v>
      </x:c>
      <x:c r="D132" s="1576">
        <x:v>23</x:v>
      </x:c>
      <x:c r="E132" s="1579">
        <x:v>29.2</x:v>
      </x:c>
      <x:c r="F132" s="1576">
        <x:v>0</x:v>
      </x:c>
      <x:c r="G132" s="1576">
        <x:v>0</x:v>
      </x:c>
      <x:c r="H132" s="1579">
        <x:v>0</x:v>
      </x:c>
      <x:c r="I132" s="1593">
        <x:v>0</x:v>
      </x:c>
    </x:row>
    <x:row r="133" ht="23" customHeight="1">
      <x:c r="A133" s="792" t="s">
        <x:v>291</x:v>
      </x:c>
      <x:c r="B133" s="539" t="s">
        <x:v>292</x:v>
      </x:c>
      <x:c r="C133" s="539"/>
      <x:c r="D133" s="1859"/>
      <x:c r="E133" s="1860"/>
      <x:c r="F133" s="1859"/>
      <x:c r="G133" s="1859"/>
      <x:c r="H133" s="1860"/>
      <x:c r="I133" s="1862"/>
    </x:row>
    <x:row r="134" ht="43" customHeight="1">
      <x:c r="A134" s="1865" t="s">
        <x:v>293</x:v>
      </x:c>
      <x:c r="B134" s="1821" t="s">
        <x:v>294</x:v>
      </x:c>
      <x:c r="C134" s="1501" t="s">
        <x:v>73</x:v>
      </x:c>
      <x:c r="D134" s="1575">
        <x:v>2</x:v>
      </x:c>
      <x:c r="E134" s="1578">
        <x:v>112.61</x:v>
      </x:c>
      <x:c r="F134" s="1575">
        <x:v>0</x:v>
      </x:c>
      <x:c r="G134" s="1575">
        <x:v>0</x:v>
      </x:c>
      <x:c r="H134" s="1578">
        <x:v>0</x:v>
      </x:c>
      <x:c r="I134" s="1592">
        <x:v>0</x:v>
      </x:c>
    </x:row>
    <x:row r="135" ht="31" customHeight="1">
      <x:c r="A135" s="1866" t="s">
        <x:v>295</x:v>
      </x:c>
      <x:c r="B135" s="1823" t="s">
        <x:v>296</x:v>
      </x:c>
      <x:c r="C135" s="249" t="s">
        <x:v>73</x:v>
      </x:c>
      <x:c r="D135" s="1576">
        <x:v>20</x:v>
      </x:c>
      <x:c r="E135" s="1579">
        <x:v>59.69</x:v>
      </x:c>
      <x:c r="F135" s="1576">
        <x:v>0</x:v>
      </x:c>
      <x:c r="G135" s="1576">
        <x:v>0</x:v>
      </x:c>
      <x:c r="H135" s="1579">
        <x:v>0</x:v>
      </x:c>
      <x:c r="I135" s="1593">
        <x:v>0</x:v>
      </x:c>
    </x:row>
    <x:row r="136" ht="31" customHeight="1">
      <x:c r="A136" s="1865" t="s">
        <x:v>297</x:v>
      </x:c>
      <x:c r="B136" s="1821" t="s">
        <x:v>298</x:v>
      </x:c>
      <x:c r="C136" s="1501" t="s">
        <x:v>73</x:v>
      </x:c>
      <x:c r="D136" s="1575">
        <x:v>2</x:v>
      </x:c>
      <x:c r="E136" s="1578">
        <x:v>440.14</x:v>
      </x:c>
      <x:c r="F136" s="1575">
        <x:v>0</x:v>
      </x:c>
      <x:c r="G136" s="1575">
        <x:v>0</x:v>
      </x:c>
      <x:c r="H136" s="1578">
        <x:v>0</x:v>
      </x:c>
      <x:c r="I136" s="1592">
        <x:v>0</x:v>
      </x:c>
    </x:row>
    <x:row r="137" ht="31" customHeight="1">
      <x:c r="A137" s="1866" t="s">
        <x:v>299</x:v>
      </x:c>
      <x:c r="B137" s="1823" t="s">
        <x:v>300</x:v>
      </x:c>
      <x:c r="C137" s="249" t="s">
        <x:v>73</x:v>
      </x:c>
      <x:c r="D137" s="1576">
        <x:v>15</x:v>
      </x:c>
      <x:c r="E137" s="1579">
        <x:v>32.27</x:v>
      </x:c>
      <x:c r="F137" s="1576">
        <x:v>0</x:v>
      </x:c>
      <x:c r="G137" s="1576">
        <x:v>0</x:v>
      </x:c>
      <x:c r="H137" s="1579">
        <x:v>0</x:v>
      </x:c>
      <x:c r="I137" s="1593">
        <x:v>0</x:v>
      </x:c>
    </x:row>
    <x:row r="138" ht="23" customHeight="1">
      <x:c r="A138" s="792" t="s">
        <x:v>301</x:v>
      </x:c>
      <x:c r="B138" s="539" t="s">
        <x:v>302</x:v>
      </x:c>
      <x:c r="C138" s="539"/>
      <x:c r="D138" s="1859"/>
      <x:c r="E138" s="1860"/>
      <x:c r="F138" s="1859"/>
      <x:c r="G138" s="1859"/>
      <x:c r="H138" s="1860"/>
      <x:c r="I138" s="1862"/>
    </x:row>
    <x:row r="139" ht="31" customHeight="1">
      <x:c r="A139" s="1865" t="s">
        <x:v>303</x:v>
      </x:c>
      <x:c r="B139" s="1821" t="s">
        <x:v>304</x:v>
      </x:c>
      <x:c r="C139" s="1501" t="s">
        <x:v>73</x:v>
      </x:c>
      <x:c r="D139" s="1575">
        <x:v>1</x:v>
      </x:c>
      <x:c r="E139" s="1578">
        <x:v>3286.08</x:v>
      </x:c>
      <x:c r="F139" s="1575">
        <x:v>0</x:v>
      </x:c>
      <x:c r="G139" s="1575">
        <x:v>0</x:v>
      </x:c>
      <x:c r="H139" s="1578">
        <x:v>0</x:v>
      </x:c>
      <x:c r="I139" s="1592">
        <x:v>0</x:v>
      </x:c>
    </x:row>
    <x:row r="140" ht="43" customHeight="1">
      <x:c r="A140" s="1866" t="s">
        <x:v>305</x:v>
      </x:c>
      <x:c r="B140" s="1823" t="s">
        <x:v>306</x:v>
      </x:c>
      <x:c r="C140" s="249" t="s">
        <x:v>73</x:v>
      </x:c>
      <x:c r="D140" s="1576">
        <x:v>1</x:v>
      </x:c>
      <x:c r="E140" s="1579">
        <x:v>613.77</x:v>
      </x:c>
      <x:c r="F140" s="1576">
        <x:v>0</x:v>
      </x:c>
      <x:c r="G140" s="1576">
        <x:v>0</x:v>
      </x:c>
      <x:c r="H140" s="1579">
        <x:v>0</x:v>
      </x:c>
      <x:c r="I140" s="1593">
        <x:v>0</x:v>
      </x:c>
    </x:row>
    <x:row r="141" ht="23" customHeight="1">
      <x:c r="A141" s="774" t="s">
        <x:v>307</x:v>
      </x:c>
      <x:c r="B141" s="515" t="s">
        <x:v>308</x:v>
      </x:c>
      <x:c r="C141" s="515"/>
      <x:c r="D141" s="1855"/>
      <x:c r="E141" s="1856"/>
      <x:c r="F141" s="1855"/>
      <x:c r="G141" s="1855"/>
      <x:c r="H141" s="1856"/>
      <x:c r="I141" s="1858"/>
    </x:row>
    <x:row r="142" ht="23" customHeight="1">
      <x:c r="A142" s="792" t="s">
        <x:v>309</x:v>
      </x:c>
      <x:c r="B142" s="539" t="s">
        <x:v>310</x:v>
      </x:c>
      <x:c r="C142" s="539"/>
      <x:c r="D142" s="1859"/>
      <x:c r="E142" s="1860"/>
      <x:c r="F142" s="1859"/>
      <x:c r="G142" s="1859"/>
      <x:c r="H142" s="1860"/>
      <x:c r="I142" s="1862"/>
    </x:row>
    <x:row r="143" ht="24" customHeight="1">
      <x:c r="A143" s="1865" t="s">
        <x:v>311</x:v>
      </x:c>
      <x:c r="B143" s="1821" t="s">
        <x:v>312</x:v>
      </x:c>
      <x:c r="C143" s="1501" t="s">
        <x:v>73</x:v>
      </x:c>
      <x:c r="D143" s="1575">
        <x:v>1</x:v>
      </x:c>
      <x:c r="E143" s="1578">
        <x:v>385.21</x:v>
      </x:c>
      <x:c r="F143" s="1575">
        <x:v>0</x:v>
      </x:c>
      <x:c r="G143" s="1575">
        <x:v>0</x:v>
      </x:c>
      <x:c r="H143" s="1578">
        <x:v>0</x:v>
      </x:c>
      <x:c r="I143" s="1592">
        <x:v>0</x:v>
      </x:c>
    </x:row>
    <x:row r="144" ht="43" customHeight="1">
      <x:c r="A144" s="1866" t="s">
        <x:v>313</x:v>
      </x:c>
      <x:c r="B144" s="1823" t="s">
        <x:v>314</x:v>
      </x:c>
      <x:c r="C144" s="249" t="s">
        <x:v>73</x:v>
      </x:c>
      <x:c r="D144" s="1576">
        <x:v>7</x:v>
      </x:c>
      <x:c r="E144" s="1579">
        <x:v>678.29</x:v>
      </x:c>
      <x:c r="F144" s="1576">
        <x:v>0</x:v>
      </x:c>
      <x:c r="G144" s="1576">
        <x:v>0</x:v>
      </x:c>
      <x:c r="H144" s="1579">
        <x:v>0</x:v>
      </x:c>
      <x:c r="I144" s="1593">
        <x:v>0</x:v>
      </x:c>
    </x:row>
    <x:row r="145" ht="31" customHeight="1">
      <x:c r="A145" s="1865" t="s">
        <x:v>315</x:v>
      </x:c>
      <x:c r="B145" s="1821" t="s">
        <x:v>316</x:v>
      </x:c>
      <x:c r="C145" s="1501" t="s">
        <x:v>73</x:v>
      </x:c>
      <x:c r="D145" s="1575">
        <x:v>3</x:v>
      </x:c>
      <x:c r="E145" s="1578">
        <x:v>40.87</x:v>
      </x:c>
      <x:c r="F145" s="1575">
        <x:v>0</x:v>
      </x:c>
      <x:c r="G145" s="1575">
        <x:v>0</x:v>
      </x:c>
      <x:c r="H145" s="1578">
        <x:v>0</x:v>
      </x:c>
      <x:c r="I145" s="1592">
        <x:v>0</x:v>
      </x:c>
    </x:row>
    <x:row r="146" ht="43" customHeight="1">
      <x:c r="A146" s="1866" t="s">
        <x:v>317</x:v>
      </x:c>
      <x:c r="B146" s="1823" t="s">
        <x:v>318</x:v>
      </x:c>
      <x:c r="C146" s="249" t="s">
        <x:v>73</x:v>
      </x:c>
      <x:c r="D146" s="1576">
        <x:v>4</x:v>
      </x:c>
      <x:c r="E146" s="1579">
        <x:v>53.26</x:v>
      </x:c>
      <x:c r="F146" s="1576">
        <x:v>0</x:v>
      </x:c>
      <x:c r="G146" s="1576">
        <x:v>0</x:v>
      </x:c>
      <x:c r="H146" s="1579">
        <x:v>0</x:v>
      </x:c>
      <x:c r="I146" s="1593">
        <x:v>0</x:v>
      </x:c>
    </x:row>
    <x:row r="147" ht="43" customHeight="1">
      <x:c r="A147" s="1865" t="s">
        <x:v>319</x:v>
      </x:c>
      <x:c r="B147" s="1821" t="s">
        <x:v>320</x:v>
      </x:c>
      <x:c r="C147" s="1501" t="s">
        <x:v>73</x:v>
      </x:c>
      <x:c r="D147" s="1575">
        <x:v>4</x:v>
      </x:c>
      <x:c r="E147" s="1578">
        <x:v>16.72</x:v>
      </x:c>
      <x:c r="F147" s="1575">
        <x:v>0</x:v>
      </x:c>
      <x:c r="G147" s="1575">
        <x:v>0</x:v>
      </x:c>
      <x:c r="H147" s="1578">
        <x:v>0</x:v>
      </x:c>
      <x:c r="I147" s="1592">
        <x:v>0</x:v>
      </x:c>
    </x:row>
    <x:row r="148" ht="43" customHeight="1">
      <x:c r="A148" s="1866" t="s">
        <x:v>321</x:v>
      </x:c>
      <x:c r="B148" s="1823" t="s">
        <x:v>322</x:v>
      </x:c>
      <x:c r="C148" s="249" t="s">
        <x:v>73</x:v>
      </x:c>
      <x:c r="D148" s="1576">
        <x:v>2</x:v>
      </x:c>
      <x:c r="E148" s="1579">
        <x:v>35.14</x:v>
      </x:c>
      <x:c r="F148" s="1576">
        <x:v>0</x:v>
      </x:c>
      <x:c r="G148" s="1576">
        <x:v>0</x:v>
      </x:c>
      <x:c r="H148" s="1579">
        <x:v>0</x:v>
      </x:c>
      <x:c r="I148" s="1593">
        <x:v>0</x:v>
      </x:c>
    </x:row>
    <x:row r="149" ht="43" customHeight="1">
      <x:c r="A149" s="1865" t="s">
        <x:v>323</x:v>
      </x:c>
      <x:c r="B149" s="1821" t="s">
        <x:v>324</x:v>
      </x:c>
      <x:c r="C149" s="1501" t="s">
        <x:v>73</x:v>
      </x:c>
      <x:c r="D149" s="1575">
        <x:v>2</x:v>
      </x:c>
      <x:c r="E149" s="1578">
        <x:v>13.29</x:v>
      </x:c>
      <x:c r="F149" s="1575">
        <x:v>0</x:v>
      </x:c>
      <x:c r="G149" s="1575">
        <x:v>0</x:v>
      </x:c>
      <x:c r="H149" s="1578">
        <x:v>0</x:v>
      </x:c>
      <x:c r="I149" s="1592">
        <x:v>0</x:v>
      </x:c>
    </x:row>
    <x:row r="150" ht="43" customHeight="1">
      <x:c r="A150" s="1866" t="s">
        <x:v>325</x:v>
      </x:c>
      <x:c r="B150" s="1823" t="s">
        <x:v>326</x:v>
      </x:c>
      <x:c r="C150" s="249" t="s">
        <x:v>73</x:v>
      </x:c>
      <x:c r="D150" s="1576">
        <x:v>7</x:v>
      </x:c>
      <x:c r="E150" s="1579">
        <x:v>12.98</x:v>
      </x:c>
      <x:c r="F150" s="1576">
        <x:v>0</x:v>
      </x:c>
      <x:c r="G150" s="1576">
        <x:v>0</x:v>
      </x:c>
      <x:c r="H150" s="1579">
        <x:v>0</x:v>
      </x:c>
      <x:c r="I150" s="1593">
        <x:v>0</x:v>
      </x:c>
    </x:row>
    <x:row r="151" ht="43" customHeight="1">
      <x:c r="A151" s="1865" t="s">
        <x:v>327</x:v>
      </x:c>
      <x:c r="B151" s="1821" t="s">
        <x:v>328</x:v>
      </x:c>
      <x:c r="C151" s="1501" t="s">
        <x:v>73</x:v>
      </x:c>
      <x:c r="D151" s="1575">
        <x:v>1</x:v>
      </x:c>
      <x:c r="E151" s="1578">
        <x:v>29.1</x:v>
      </x:c>
      <x:c r="F151" s="1575">
        <x:v>0</x:v>
      </x:c>
      <x:c r="G151" s="1575">
        <x:v>0</x:v>
      </x:c>
      <x:c r="H151" s="1578">
        <x:v>0</x:v>
      </x:c>
      <x:c r="I151" s="1592">
        <x:v>0</x:v>
      </x:c>
    </x:row>
    <x:row r="152" ht="43" customHeight="1">
      <x:c r="A152" s="1866" t="s">
        <x:v>329</x:v>
      </x:c>
      <x:c r="B152" s="1823" t="s">
        <x:v>330</x:v>
      </x:c>
      <x:c r="C152" s="249" t="s">
        <x:v>73</x:v>
      </x:c>
      <x:c r="D152" s="1576">
        <x:v>1</x:v>
      </x:c>
      <x:c r="E152" s="1579">
        <x:v>34.09</x:v>
      </x:c>
      <x:c r="F152" s="1576">
        <x:v>0</x:v>
      </x:c>
      <x:c r="G152" s="1576">
        <x:v>0</x:v>
      </x:c>
      <x:c r="H152" s="1579">
        <x:v>0</x:v>
      </x:c>
      <x:c r="I152" s="1593">
        <x:v>0</x:v>
      </x:c>
    </x:row>
    <x:row r="153" ht="43" customHeight="1">
      <x:c r="A153" s="1865" t="s">
        <x:v>331</x:v>
      </x:c>
      <x:c r="B153" s="1821" t="s">
        <x:v>332</x:v>
      </x:c>
      <x:c r="C153" s="1501" t="s">
        <x:v>73</x:v>
      </x:c>
      <x:c r="D153" s="1575">
        <x:v>4</x:v>
      </x:c>
      <x:c r="E153" s="1578">
        <x:v>13</x:v>
      </x:c>
      <x:c r="F153" s="1575">
        <x:v>0</x:v>
      </x:c>
      <x:c r="G153" s="1575">
        <x:v>0</x:v>
      </x:c>
      <x:c r="H153" s="1578">
        <x:v>0</x:v>
      </x:c>
      <x:c r="I153" s="1592">
        <x:v>0</x:v>
      </x:c>
    </x:row>
    <x:row r="154" ht="43" customHeight="1">
      <x:c r="A154" s="1866" t="s">
        <x:v>333</x:v>
      </x:c>
      <x:c r="B154" s="1823" t="s">
        <x:v>334</x:v>
      </x:c>
      <x:c r="C154" s="249" t="s">
        <x:v>73</x:v>
      </x:c>
      <x:c r="D154" s="1576">
        <x:v>5</x:v>
      </x:c>
      <x:c r="E154" s="1579">
        <x:v>18.3</x:v>
      </x:c>
      <x:c r="F154" s="1576">
        <x:v>0</x:v>
      </x:c>
      <x:c r="G154" s="1576">
        <x:v>0</x:v>
      </x:c>
      <x:c r="H154" s="1579">
        <x:v>0</x:v>
      </x:c>
      <x:c r="I154" s="1593">
        <x:v>0</x:v>
      </x:c>
    </x:row>
    <x:row r="155" ht="43" customHeight="1">
      <x:c r="A155" s="1865" t="s">
        <x:v>335</x:v>
      </x:c>
      <x:c r="B155" s="1821" t="s">
        <x:v>336</x:v>
      </x:c>
      <x:c r="C155" s="1501" t="s">
        <x:v>73</x:v>
      </x:c>
      <x:c r="D155" s="1575">
        <x:v>2</x:v>
      </x:c>
      <x:c r="E155" s="1578">
        <x:v>51.84</x:v>
      </x:c>
      <x:c r="F155" s="1575">
        <x:v>0</x:v>
      </x:c>
      <x:c r="G155" s="1575">
        <x:v>0</x:v>
      </x:c>
      <x:c r="H155" s="1578">
        <x:v>0</x:v>
      </x:c>
      <x:c r="I155" s="1592">
        <x:v>0</x:v>
      </x:c>
    </x:row>
    <x:row r="156" ht="43" customHeight="1">
      <x:c r="A156" s="1866" t="s">
        <x:v>337</x:v>
      </x:c>
      <x:c r="B156" s="1823" t="s">
        <x:v>338</x:v>
      </x:c>
      <x:c r="C156" s="249" t="s">
        <x:v>73</x:v>
      </x:c>
      <x:c r="D156" s="1576">
        <x:v>1</x:v>
      </x:c>
      <x:c r="E156" s="1579">
        <x:v>32.82</x:v>
      </x:c>
      <x:c r="F156" s="1576">
        <x:v>0</x:v>
      </x:c>
      <x:c r="G156" s="1576">
        <x:v>0</x:v>
      </x:c>
      <x:c r="H156" s="1579">
        <x:v>0</x:v>
      </x:c>
      <x:c r="I156" s="1593">
        <x:v>0</x:v>
      </x:c>
    </x:row>
    <x:row r="157" ht="43" customHeight="1">
      <x:c r="A157" s="1865" t="s">
        <x:v>339</x:v>
      </x:c>
      <x:c r="B157" s="1821" t="s">
        <x:v>340</x:v>
      </x:c>
      <x:c r="C157" s="1501" t="s">
        <x:v>73</x:v>
      </x:c>
      <x:c r="D157" s="1575">
        <x:v>1</x:v>
      </x:c>
      <x:c r="E157" s="1578">
        <x:v>59.46</x:v>
      </x:c>
      <x:c r="F157" s="1575">
        <x:v>0</x:v>
      </x:c>
      <x:c r="G157" s="1575">
        <x:v>0</x:v>
      </x:c>
      <x:c r="H157" s="1578">
        <x:v>0</x:v>
      </x:c>
      <x:c r="I157" s="1592">
        <x:v>0</x:v>
      </x:c>
    </x:row>
    <x:row r="158" ht="43" customHeight="1">
      <x:c r="A158" s="1866" t="s">
        <x:v>341</x:v>
      </x:c>
      <x:c r="B158" s="1823" t="s">
        <x:v>342</x:v>
      </x:c>
      <x:c r="C158" s="249" t="s">
        <x:v>73</x:v>
      </x:c>
      <x:c r="D158" s="1576">
        <x:v>3</x:v>
      </x:c>
      <x:c r="E158" s="1579">
        <x:v>63.97</x:v>
      </x:c>
      <x:c r="F158" s="1576">
        <x:v>0</x:v>
      </x:c>
      <x:c r="G158" s="1576">
        <x:v>0</x:v>
      </x:c>
      <x:c r="H158" s="1579">
        <x:v>0</x:v>
      </x:c>
      <x:c r="I158" s="1593">
        <x:v>0</x:v>
      </x:c>
    </x:row>
    <x:row r="159" ht="43" customHeight="1">
      <x:c r="A159" s="1865" t="s">
        <x:v>343</x:v>
      </x:c>
      <x:c r="B159" s="1821" t="s">
        <x:v>344</x:v>
      </x:c>
      <x:c r="C159" s="1501" t="s">
        <x:v>73</x:v>
      </x:c>
      <x:c r="D159" s="1575">
        <x:v>10</x:v>
      </x:c>
      <x:c r="E159" s="1578">
        <x:v>23</x:v>
      </x:c>
      <x:c r="F159" s="1575">
        <x:v>0</x:v>
      </x:c>
      <x:c r="G159" s="1575">
        <x:v>0</x:v>
      </x:c>
      <x:c r="H159" s="1578">
        <x:v>0</x:v>
      </x:c>
      <x:c r="I159" s="1592">
        <x:v>0</x:v>
      </x:c>
    </x:row>
    <x:row r="160" ht="43" customHeight="1">
      <x:c r="A160" s="1866" t="s">
        <x:v>345</x:v>
      </x:c>
      <x:c r="B160" s="1823" t="s">
        <x:v>346</x:v>
      </x:c>
      <x:c r="C160" s="249" t="s">
        <x:v>73</x:v>
      </x:c>
      <x:c r="D160" s="1576">
        <x:v>6</x:v>
      </x:c>
      <x:c r="E160" s="1579">
        <x:v>11.8</x:v>
      </x:c>
      <x:c r="F160" s="1576">
        <x:v>0</x:v>
      </x:c>
      <x:c r="G160" s="1576">
        <x:v>0</x:v>
      </x:c>
      <x:c r="H160" s="1579">
        <x:v>0</x:v>
      </x:c>
      <x:c r="I160" s="1593">
        <x:v>0</x:v>
      </x:c>
    </x:row>
    <x:row r="161" ht="43" customHeight="1">
      <x:c r="A161" s="1865" t="s">
        <x:v>347</x:v>
      </x:c>
      <x:c r="B161" s="1821" t="s">
        <x:v>348</x:v>
      </x:c>
      <x:c r="C161" s="1501" t="s">
        <x:v>152</x:v>
      </x:c>
      <x:c r="D161" s="1575">
        <x:v>65</x:v>
      </x:c>
      <x:c r="E161" s="1578">
        <x:v>46.96</x:v>
      </x:c>
      <x:c r="F161" s="1575">
        <x:v>0</x:v>
      </x:c>
      <x:c r="G161" s="1575">
        <x:v>0</x:v>
      </x:c>
      <x:c r="H161" s="1578">
        <x:v>0</x:v>
      </x:c>
      <x:c r="I161" s="1592">
        <x:v>0</x:v>
      </x:c>
    </x:row>
    <x:row r="162" ht="43" customHeight="1">
      <x:c r="A162" s="1866" t="s">
        <x:v>349</x:v>
      </x:c>
      <x:c r="B162" s="1823" t="s">
        <x:v>350</x:v>
      </x:c>
      <x:c r="C162" s="249" t="s">
        <x:v>152</x:v>
      </x:c>
      <x:c r="D162" s="1576">
        <x:v>7</x:v>
      </x:c>
      <x:c r="E162" s="1579">
        <x:v>26.48</x:v>
      </x:c>
      <x:c r="F162" s="1576">
        <x:v>0</x:v>
      </x:c>
      <x:c r="G162" s="1576">
        <x:v>0</x:v>
      </x:c>
      <x:c r="H162" s="1579">
        <x:v>0</x:v>
      </x:c>
      <x:c r="I162" s="1593">
        <x:v>0</x:v>
      </x:c>
    </x:row>
    <x:row r="163" ht="43" customHeight="1">
      <x:c r="A163" s="1865" t="s">
        <x:v>351</x:v>
      </x:c>
      <x:c r="B163" s="1821" t="s">
        <x:v>352</x:v>
      </x:c>
      <x:c r="C163" s="1501" t="s">
        <x:v>152</x:v>
      </x:c>
      <x:c r="D163" s="1575">
        <x:v>10</x:v>
      </x:c>
      <x:c r="E163" s="1578">
        <x:v>33.73</x:v>
      </x:c>
      <x:c r="F163" s="1575">
        <x:v>0</x:v>
      </x:c>
      <x:c r="G163" s="1575">
        <x:v>0</x:v>
      </x:c>
      <x:c r="H163" s="1578">
        <x:v>0</x:v>
      </x:c>
      <x:c r="I163" s="1592">
        <x:v>0</x:v>
      </x:c>
    </x:row>
    <x:row r="164" ht="31" customHeight="1">
      <x:c r="A164" s="1866" t="s">
        <x:v>353</x:v>
      </x:c>
      <x:c r="B164" s="1823" t="s">
        <x:v>354</x:v>
      </x:c>
      <x:c r="C164" s="249" t="s">
        <x:v>73</x:v>
      </x:c>
      <x:c r="D164" s="1576">
        <x:v>1</x:v>
      </x:c>
      <x:c r="E164" s="1579">
        <x:v>42.47</x:v>
      </x:c>
      <x:c r="F164" s="1576">
        <x:v>0</x:v>
      </x:c>
      <x:c r="G164" s="1576">
        <x:v>0</x:v>
      </x:c>
      <x:c r="H164" s="1579">
        <x:v>0</x:v>
      </x:c>
      <x:c r="I164" s="1593">
        <x:v>0</x:v>
      </x:c>
    </x:row>
    <x:row r="165" ht="43" customHeight="1">
      <x:c r="A165" s="1865" t="s">
        <x:v>355</x:v>
      </x:c>
      <x:c r="B165" s="1821" t="s">
        <x:v>356</x:v>
      </x:c>
      <x:c r="C165" s="1501" t="s">
        <x:v>73</x:v>
      </x:c>
      <x:c r="D165" s="1575">
        <x:v>4</x:v>
      </x:c>
      <x:c r="E165" s="1578">
        <x:v>12.79</x:v>
      </x:c>
      <x:c r="F165" s="1575">
        <x:v>0</x:v>
      </x:c>
      <x:c r="G165" s="1575">
        <x:v>0</x:v>
      </x:c>
      <x:c r="H165" s="1578">
        <x:v>0</x:v>
      </x:c>
      <x:c r="I165" s="1592">
        <x:v>0</x:v>
      </x:c>
    </x:row>
    <x:row r="166" ht="23" customHeight="1">
      <x:c r="A166" s="792" t="s">
        <x:v>357</x:v>
      </x:c>
      <x:c r="B166" s="539" t="s">
        <x:v>358</x:v>
      </x:c>
      <x:c r="C166" s="539"/>
      <x:c r="D166" s="1859"/>
      <x:c r="E166" s="1860"/>
      <x:c r="F166" s="1859"/>
      <x:c r="G166" s="1859"/>
      <x:c r="H166" s="1860"/>
      <x:c r="I166" s="1862"/>
    </x:row>
    <x:row r="167" ht="55" customHeight="1">
      <x:c r="A167" s="1866" t="s">
        <x:v>359</x:v>
      </x:c>
      <x:c r="B167" s="1823" t="s">
        <x:v>360</x:v>
      </x:c>
      <x:c r="C167" s="249" t="s">
        <x:v>62</x:v>
      </x:c>
      <x:c r="D167" s="1576">
        <x:v>0.7</x:v>
      </x:c>
      <x:c r="E167" s="1579">
        <x:v>614.31</x:v>
      </x:c>
      <x:c r="F167" s="1576">
        <x:v>0</x:v>
      </x:c>
      <x:c r="G167" s="1576">
        <x:v>0</x:v>
      </x:c>
      <x:c r="H167" s="1579">
        <x:v>0</x:v>
      </x:c>
      <x:c r="I167" s="1593">
        <x:v>0</x:v>
      </x:c>
    </x:row>
    <x:row r="168" ht="24" customHeight="1">
      <x:c r="A168" s="1865" t="s">
        <x:v>361</x:v>
      </x:c>
      <x:c r="B168" s="1821" t="s">
        <x:v>362</x:v>
      </x:c>
      <x:c r="C168" s="1501" t="s">
        <x:v>62</x:v>
      </x:c>
      <x:c r="D168" s="1575">
        <x:v>0.3</x:v>
      </x:c>
      <x:c r="E168" s="1578">
        <x:v>216.57</x:v>
      </x:c>
      <x:c r="F168" s="1575">
        <x:v>0</x:v>
      </x:c>
      <x:c r="G168" s="1575">
        <x:v>0</x:v>
      </x:c>
      <x:c r="H168" s="1578">
        <x:v>0</x:v>
      </x:c>
      <x:c r="I168" s="1592">
        <x:v>0</x:v>
      </x:c>
    </x:row>
    <x:row r="169" ht="24" customHeight="1">
      <x:c r="A169" s="1866" t="s">
        <x:v>363</x:v>
      </x:c>
      <x:c r="B169" s="1823" t="s">
        <x:v>364</x:v>
      </x:c>
      <x:c r="C169" s="249" t="s">
        <x:v>73</x:v>
      </x:c>
      <x:c r="D169" s="1576">
        <x:v>2</x:v>
      </x:c>
      <x:c r="E169" s="1579">
        <x:v>149.19</x:v>
      </x:c>
      <x:c r="F169" s="1576">
        <x:v>0</x:v>
      </x:c>
      <x:c r="G169" s="1576">
        <x:v>0</x:v>
      </x:c>
      <x:c r="H169" s="1579">
        <x:v>0</x:v>
      </x:c>
      <x:c r="I169" s="1593">
        <x:v>0</x:v>
      </x:c>
    </x:row>
    <x:row r="170" ht="31" customHeight="1">
      <x:c r="A170" s="1865" t="s">
        <x:v>365</x:v>
      </x:c>
      <x:c r="B170" s="1821" t="s">
        <x:v>366</x:v>
      </x:c>
      <x:c r="C170" s="1501" t="s">
        <x:v>73</x:v>
      </x:c>
      <x:c r="D170" s="1575">
        <x:v>979</x:v>
      </x:c>
      <x:c r="E170" s="1578">
        <x:v>0.93</x:v>
      </x:c>
      <x:c r="F170" s="1575">
        <x:v>0</x:v>
      </x:c>
      <x:c r="G170" s="1575">
        <x:v>0</x:v>
      </x:c>
      <x:c r="H170" s="1578">
        <x:v>0</x:v>
      </x:c>
      <x:c r="I170" s="1592">
        <x:v>0</x:v>
      </x:c>
    </x:row>
    <x:row r="171" ht="55" customHeight="1">
      <x:c r="A171" s="1866" t="s">
        <x:v>367</x:v>
      </x:c>
      <x:c r="B171" s="1823" t="s">
        <x:v>368</x:v>
      </x:c>
      <x:c r="C171" s="249" t="s">
        <x:v>62</x:v>
      </x:c>
      <x:c r="D171" s="1576">
        <x:v>12.47</x:v>
      </x:c>
      <x:c r="E171" s="1579">
        <x:v>7.44</x:v>
      </x:c>
      <x:c r="F171" s="1576">
        <x:v>0</x:v>
      </x:c>
      <x:c r="G171" s="1576">
        <x:v>0</x:v>
      </x:c>
      <x:c r="H171" s="1579">
        <x:v>0</x:v>
      </x:c>
      <x:c r="I171" s="1593">
        <x:v>0</x:v>
      </x:c>
    </x:row>
    <x:row r="172" ht="23" customHeight="1">
      <x:c r="A172" s="792" t="s">
        <x:v>369</x:v>
      </x:c>
      <x:c r="B172" s="539" t="s">
        <x:v>370</x:v>
      </x:c>
      <x:c r="C172" s="539"/>
      <x:c r="D172" s="1859"/>
      <x:c r="E172" s="1860"/>
      <x:c r="F172" s="1859"/>
      <x:c r="G172" s="1859"/>
      <x:c r="H172" s="1860"/>
      <x:c r="I172" s="1862"/>
    </x:row>
    <x:row r="173" ht="43" customHeight="1">
      <x:c r="A173" s="1865" t="s">
        <x:v>371</x:v>
      </x:c>
      <x:c r="B173" s="1821" t="s">
        <x:v>326</x:v>
      </x:c>
      <x:c r="C173" s="1501" t="s">
        <x:v>73</x:v>
      </x:c>
      <x:c r="D173" s="1575">
        <x:v>2</x:v>
      </x:c>
      <x:c r="E173" s="1578">
        <x:v>12.98</x:v>
      </x:c>
      <x:c r="F173" s="1575">
        <x:v>0</x:v>
      </x:c>
      <x:c r="G173" s="1575">
        <x:v>0</x:v>
      </x:c>
      <x:c r="H173" s="1578">
        <x:v>0</x:v>
      </x:c>
      <x:c r="I173" s="1592">
        <x:v>0</x:v>
      </x:c>
    </x:row>
    <x:row r="174" ht="43" customHeight="1">
      <x:c r="A174" s="1866" t="s">
        <x:v>372</x:v>
      </x:c>
      <x:c r="B174" s="1823" t="s">
        <x:v>373</x:v>
      </x:c>
      <x:c r="C174" s="249" t="s">
        <x:v>73</x:v>
      </x:c>
      <x:c r="D174" s="1576">
        <x:v>4</x:v>
      </x:c>
      <x:c r="E174" s="1579">
        <x:v>12.05</x:v>
      </x:c>
      <x:c r="F174" s="1576">
        <x:v>0</x:v>
      </x:c>
      <x:c r="G174" s="1576">
        <x:v>0</x:v>
      </x:c>
      <x:c r="H174" s="1579">
        <x:v>0</x:v>
      </x:c>
      <x:c r="I174" s="1593">
        <x:v>0</x:v>
      </x:c>
    </x:row>
    <x:row r="175" ht="43" customHeight="1">
      <x:c r="A175" s="1865" t="s">
        <x:v>374</x:v>
      </x:c>
      <x:c r="B175" s="1821" t="s">
        <x:v>375</x:v>
      </x:c>
      <x:c r="C175" s="1501" t="s">
        <x:v>152</x:v>
      </x:c>
      <x:c r="D175" s="1575">
        <x:v>15</x:v>
      </x:c>
      <x:c r="E175" s="1578">
        <x:v>17.05</x:v>
      </x:c>
      <x:c r="F175" s="1575">
        <x:v>0</x:v>
      </x:c>
      <x:c r="G175" s="1575">
        <x:v>0</x:v>
      </x:c>
      <x:c r="H175" s="1578">
        <x:v>0</x:v>
      </x:c>
      <x:c r="I175" s="1592">
        <x:v>0</x:v>
      </x:c>
    </x:row>
    <x:row r="176" ht="43" customHeight="1">
      <x:c r="A176" s="1866" t="s">
        <x:v>376</x:v>
      </x:c>
      <x:c r="B176" s="1823" t="s">
        <x:v>377</x:v>
      </x:c>
      <x:c r="C176" s="249" t="s">
        <x:v>73</x:v>
      </x:c>
      <x:c r="D176" s="1576">
        <x:v>2</x:v>
      </x:c>
      <x:c r="E176" s="1579">
        <x:v>21.47</x:v>
      </x:c>
      <x:c r="F176" s="1576">
        <x:v>0</x:v>
      </x:c>
      <x:c r="G176" s="1576">
        <x:v>0</x:v>
      </x:c>
      <x:c r="H176" s="1579">
        <x:v>0</x:v>
      </x:c>
      <x:c r="I176" s="1593">
        <x:v>0</x:v>
      </x:c>
    </x:row>
    <x:row r="177" ht="43" customHeight="1">
      <x:c r="A177" s="1865" t="s">
        <x:v>378</x:v>
      </x:c>
      <x:c r="B177" s="1821" t="s">
        <x:v>379</x:v>
      </x:c>
      <x:c r="C177" s="1501" t="s">
        <x:v>73</x:v>
      </x:c>
      <x:c r="D177" s="1575">
        <x:v>2</x:v>
      </x:c>
      <x:c r="E177" s="1578">
        <x:v>14.29</x:v>
      </x:c>
      <x:c r="F177" s="1575">
        <x:v>0</x:v>
      </x:c>
      <x:c r="G177" s="1575">
        <x:v>0</x:v>
      </x:c>
      <x:c r="H177" s="1578">
        <x:v>0</x:v>
      </x:c>
      <x:c r="I177" s="1592">
        <x:v>0</x:v>
      </x:c>
    </x:row>
    <x:row r="178" ht="43" customHeight="1">
      <x:c r="A178" s="1866" t="s">
        <x:v>380</x:v>
      </x:c>
      <x:c r="B178" s="1823" t="s">
        <x:v>381</x:v>
      </x:c>
      <x:c r="C178" s="249" t="s">
        <x:v>73</x:v>
      </x:c>
      <x:c r="D178" s="1576">
        <x:v>1</x:v>
      </x:c>
      <x:c r="E178" s="1579">
        <x:v>37.14</x:v>
      </x:c>
      <x:c r="F178" s="1576">
        <x:v>0</x:v>
      </x:c>
      <x:c r="G178" s="1576">
        <x:v>0</x:v>
      </x:c>
      <x:c r="H178" s="1579">
        <x:v>0</x:v>
      </x:c>
      <x:c r="I178" s="1593">
        <x:v>0</x:v>
      </x:c>
    </x:row>
    <x:row r="179" ht="23" customHeight="1">
      <x:c r="A179" s="792" t="s">
        <x:v>382</x:v>
      </x:c>
      <x:c r="B179" s="539" t="s">
        <x:v>383</x:v>
      </x:c>
      <x:c r="C179" s="539"/>
      <x:c r="D179" s="1859"/>
      <x:c r="E179" s="1860"/>
      <x:c r="F179" s="1859"/>
      <x:c r="G179" s="1859"/>
      <x:c r="H179" s="1860"/>
      <x:c r="I179" s="1862"/>
    </x:row>
    <x:row r="180" ht="31" customHeight="1">
      <x:c r="A180" s="1865" t="s">
        <x:v>384</x:v>
      </x:c>
      <x:c r="B180" s="1821" t="s">
        <x:v>385</x:v>
      </x:c>
      <x:c r="C180" s="1501" t="s">
        <x:v>73</x:v>
      </x:c>
      <x:c r="D180" s="1575">
        <x:v>2</x:v>
      </x:c>
      <x:c r="E180" s="1578">
        <x:v>308.21</x:v>
      </x:c>
      <x:c r="F180" s="1575">
        <x:v>0</x:v>
      </x:c>
      <x:c r="G180" s="1575">
        <x:v>0</x:v>
      </x:c>
      <x:c r="H180" s="1578">
        <x:v>0</x:v>
      </x:c>
      <x:c r="I180" s="1592">
        <x:v>0</x:v>
      </x:c>
    </x:row>
    <x:row r="181" ht="43" customHeight="1">
      <x:c r="A181" s="1866" t="s">
        <x:v>386</x:v>
      </x:c>
      <x:c r="B181" s="1823" t="s">
        <x:v>387</x:v>
      </x:c>
      <x:c r="C181" s="249" t="s">
        <x:v>73</x:v>
      </x:c>
      <x:c r="D181" s="1576">
        <x:v>4</x:v>
      </x:c>
      <x:c r="E181" s="1579">
        <x:v>617.84</x:v>
      </x:c>
      <x:c r="F181" s="1576">
        <x:v>0</x:v>
      </x:c>
      <x:c r="G181" s="1576">
        <x:v>0</x:v>
      </x:c>
      <x:c r="H181" s="1579">
        <x:v>0</x:v>
      </x:c>
      <x:c r="I181" s="1593">
        <x:v>0</x:v>
      </x:c>
    </x:row>
    <x:row r="182" ht="24" customHeight="1">
      <x:c r="A182" s="1865" t="s">
        <x:v>388</x:v>
      </x:c>
      <x:c r="B182" s="1821" t="s">
        <x:v>389</x:v>
      </x:c>
      <x:c r="C182" s="1501" t="s">
        <x:v>73</x:v>
      </x:c>
      <x:c r="D182" s="1575">
        <x:v>4</x:v>
      </x:c>
      <x:c r="E182" s="1578">
        <x:v>89.9</x:v>
      </x:c>
      <x:c r="F182" s="1575">
        <x:v>0</x:v>
      </x:c>
      <x:c r="G182" s="1575">
        <x:v>0</x:v>
      </x:c>
      <x:c r="H182" s="1578">
        <x:v>0</x:v>
      </x:c>
      <x:c r="I182" s="1592">
        <x:v>0</x:v>
      </x:c>
    </x:row>
    <x:row r="183" ht="55" customHeight="1">
      <x:c r="A183" s="1866" t="s">
        <x:v>390</x:v>
      </x:c>
      <x:c r="B183" s="1823" t="s">
        <x:v>391</x:v>
      </x:c>
      <x:c r="C183" s="249" t="s">
        <x:v>73</x:v>
      </x:c>
      <x:c r="D183" s="1576">
        <x:v>4</x:v>
      </x:c>
      <x:c r="E183" s="1579">
        <x:v>553.43</x:v>
      </x:c>
      <x:c r="F183" s="1576">
        <x:v>0</x:v>
      </x:c>
      <x:c r="G183" s="1576">
        <x:v>0</x:v>
      </x:c>
      <x:c r="H183" s="1579">
        <x:v>0</x:v>
      </x:c>
      <x:c r="I183" s="1593">
        <x:v>0</x:v>
      </x:c>
    </x:row>
    <x:row r="184" ht="31" customHeight="1">
      <x:c r="A184" s="1865" t="s">
        <x:v>392</x:v>
      </x:c>
      <x:c r="B184" s="1821" t="s">
        <x:v>393</x:v>
      </x:c>
      <x:c r="C184" s="1501" t="s">
        <x:v>73</x:v>
      </x:c>
      <x:c r="D184" s="1575">
        <x:v>4</x:v>
      </x:c>
      <x:c r="E184" s="1578">
        <x:v>148.06</x:v>
      </x:c>
      <x:c r="F184" s="1575">
        <x:v>0</x:v>
      </x:c>
      <x:c r="G184" s="1575">
        <x:v>0</x:v>
      </x:c>
      <x:c r="H184" s="1578">
        <x:v>0</x:v>
      </x:c>
      <x:c r="I184" s="1592">
        <x:v>0</x:v>
      </x:c>
    </x:row>
    <x:row r="185" ht="31" customHeight="1">
      <x:c r="A185" s="1866" t="s">
        <x:v>394</x:v>
      </x:c>
      <x:c r="B185" s="1823" t="s">
        <x:v>395</x:v>
      </x:c>
      <x:c r="C185" s="249" t="s">
        <x:v>73</x:v>
      </x:c>
      <x:c r="D185" s="1576">
        <x:v>2</x:v>
      </x:c>
      <x:c r="E185" s="1579">
        <x:v>383.16</x:v>
      </x:c>
      <x:c r="F185" s="1576">
        <x:v>0</x:v>
      </x:c>
      <x:c r="G185" s="1576">
        <x:v>0</x:v>
      </x:c>
      <x:c r="H185" s="1579">
        <x:v>0</x:v>
      </x:c>
      <x:c r="I185" s="1593">
        <x:v>0</x:v>
      </x:c>
    </x:row>
    <x:row r="186" ht="31" customHeight="1">
      <x:c r="A186" s="1865" t="s">
        <x:v>396</x:v>
      </x:c>
      <x:c r="B186" s="1821" t="s">
        <x:v>397</x:v>
      </x:c>
      <x:c r="C186" s="1501" t="s">
        <x:v>73</x:v>
      </x:c>
      <x:c r="D186" s="1575">
        <x:v>2</x:v>
      </x:c>
      <x:c r="E186" s="1578">
        <x:v>364.98</x:v>
      </x:c>
      <x:c r="F186" s="1575">
        <x:v>0</x:v>
      </x:c>
      <x:c r="G186" s="1575">
        <x:v>0</x:v>
      </x:c>
      <x:c r="H186" s="1578">
        <x:v>0</x:v>
      </x:c>
      <x:c r="I186" s="1592">
        <x:v>0</x:v>
      </x:c>
    </x:row>
    <x:row r="187" ht="31" customHeight="1">
      <x:c r="A187" s="1866" t="s">
        <x:v>398</x:v>
      </x:c>
      <x:c r="B187" s="1823" t="s">
        <x:v>399</x:v>
      </x:c>
      <x:c r="C187" s="249" t="s">
        <x:v>73</x:v>
      </x:c>
      <x:c r="D187" s="1576">
        <x:v>2</x:v>
      </x:c>
      <x:c r="E187" s="1579">
        <x:v>336.47</x:v>
      </x:c>
      <x:c r="F187" s="1576">
        <x:v>0</x:v>
      </x:c>
      <x:c r="G187" s="1576">
        <x:v>0</x:v>
      </x:c>
      <x:c r="H187" s="1579">
        <x:v>0</x:v>
      </x:c>
      <x:c r="I187" s="1593">
        <x:v>0</x:v>
      </x:c>
    </x:row>
    <x:row r="188" ht="23" customHeight="1">
      <x:c r="A188" s="792" t="s">
        <x:v>400</x:v>
      </x:c>
      <x:c r="B188" s="539" t="s">
        <x:v>401</x:v>
      </x:c>
      <x:c r="C188" s="539"/>
      <x:c r="D188" s="1859"/>
      <x:c r="E188" s="1860"/>
      <x:c r="F188" s="1859"/>
      <x:c r="G188" s="1859"/>
      <x:c r="H188" s="1860"/>
      <x:c r="I188" s="1862"/>
    </x:row>
    <x:row r="189" ht="43" customHeight="1">
      <x:c r="A189" s="1865" t="s">
        <x:v>402</x:v>
      </x:c>
      <x:c r="B189" s="1821" t="s">
        <x:v>403</x:v>
      </x:c>
      <x:c r="C189" s="1501" t="s">
        <x:v>65</x:v>
      </x:c>
      <x:c r="D189" s="1575">
        <x:v>1</x:v>
      </x:c>
      <x:c r="E189" s="1578">
        <x:v>1063.06</x:v>
      </x:c>
      <x:c r="F189" s="1575">
        <x:v>0</x:v>
      </x:c>
      <x:c r="G189" s="1575">
        <x:v>0</x:v>
      </x:c>
      <x:c r="H189" s="1578">
        <x:v>0</x:v>
      </x:c>
      <x:c r="I189" s="1592">
        <x:v>0</x:v>
      </x:c>
    </x:row>
    <x:row r="190" ht="31" customHeight="1">
      <x:c r="A190" s="1866" t="s">
        <x:v>404</x:v>
      </x:c>
      <x:c r="B190" s="1823" t="s">
        <x:v>405</x:v>
      </x:c>
      <x:c r="C190" s="249" t="s">
        <x:v>73</x:v>
      </x:c>
      <x:c r="D190" s="1576">
        <x:v>4</x:v>
      </x:c>
      <x:c r="E190" s="1579">
        <x:v>134.99</x:v>
      </x:c>
      <x:c r="F190" s="1576">
        <x:v>0</x:v>
      </x:c>
      <x:c r="G190" s="1576">
        <x:v>0</x:v>
      </x:c>
      <x:c r="H190" s="1579">
        <x:v>0</x:v>
      </x:c>
      <x:c r="I190" s="1593">
        <x:v>0</x:v>
      </x:c>
    </x:row>
    <x:row r="191" ht="43" customHeight="1">
      <x:c r="A191" s="1865" t="s">
        <x:v>406</x:v>
      </x:c>
      <x:c r="B191" s="1821" t="s">
        <x:v>407</x:v>
      </x:c>
      <x:c r="C191" s="1501" t="s">
        <x:v>73</x:v>
      </x:c>
      <x:c r="D191" s="1575">
        <x:v>8</x:v>
      </x:c>
      <x:c r="E191" s="1578">
        <x:v>7.69</x:v>
      </x:c>
      <x:c r="F191" s="1575">
        <x:v>0</x:v>
      </x:c>
      <x:c r="G191" s="1575">
        <x:v>0</x:v>
      </x:c>
      <x:c r="H191" s="1578">
        <x:v>0</x:v>
      </x:c>
      <x:c r="I191" s="1592">
        <x:v>0</x:v>
      </x:c>
    </x:row>
    <x:row r="192" ht="31" customHeight="1">
      <x:c r="A192" s="1866" t="s">
        <x:v>408</x:v>
      </x:c>
      <x:c r="B192" s="1823" t="s">
        <x:v>409</x:v>
      </x:c>
      <x:c r="C192" s="249" t="s">
        <x:v>73</x:v>
      </x:c>
      <x:c r="D192" s="1576">
        <x:v>13</x:v>
      </x:c>
      <x:c r="E192" s="1579">
        <x:v>13.86</x:v>
      </x:c>
      <x:c r="F192" s="1576">
        <x:v>0</x:v>
      </x:c>
      <x:c r="G192" s="1576">
        <x:v>0</x:v>
      </x:c>
      <x:c r="H192" s="1579">
        <x:v>0</x:v>
      </x:c>
      <x:c r="I192" s="1593">
        <x:v>0</x:v>
      </x:c>
    </x:row>
    <x:row r="193" ht="31" customHeight="1">
      <x:c r="A193" s="1865" t="s">
        <x:v>410</x:v>
      </x:c>
      <x:c r="B193" s="1821" t="s">
        <x:v>411</x:v>
      </x:c>
      <x:c r="C193" s="1501" t="s">
        <x:v>73</x:v>
      </x:c>
      <x:c r="D193" s="1575">
        <x:v>6</x:v>
      </x:c>
      <x:c r="E193" s="1578">
        <x:v>20.68</x:v>
      </x:c>
      <x:c r="F193" s="1575">
        <x:v>0</x:v>
      </x:c>
      <x:c r="G193" s="1575">
        <x:v>0</x:v>
      </x:c>
      <x:c r="H193" s="1578">
        <x:v>0</x:v>
      </x:c>
      <x:c r="I193" s="1592">
        <x:v>0</x:v>
      </x:c>
    </x:row>
    <x:row r="194" ht="43" customHeight="1">
      <x:c r="A194" s="1866" t="s">
        <x:v>412</x:v>
      </x:c>
      <x:c r="B194" s="1823" t="s">
        <x:v>413</x:v>
      </x:c>
      <x:c r="C194" s="249" t="s">
        <x:v>73</x:v>
      </x:c>
      <x:c r="D194" s="1576">
        <x:v>11</x:v>
      </x:c>
      <x:c r="E194" s="1579">
        <x:v>12.31</x:v>
      </x:c>
      <x:c r="F194" s="1576">
        <x:v>0</x:v>
      </x:c>
      <x:c r="G194" s="1576">
        <x:v>0</x:v>
      </x:c>
      <x:c r="H194" s="1579">
        <x:v>0</x:v>
      </x:c>
      <x:c r="I194" s="1593">
        <x:v>0</x:v>
      </x:c>
    </x:row>
    <x:row r="195" ht="43" customHeight="1">
      <x:c r="A195" s="1865" t="s">
        <x:v>414</x:v>
      </x:c>
      <x:c r="B195" s="1821" t="s">
        <x:v>415</x:v>
      </x:c>
      <x:c r="C195" s="1501" t="s">
        <x:v>73</x:v>
      </x:c>
      <x:c r="D195" s="1575">
        <x:v>3</x:v>
      </x:c>
      <x:c r="E195" s="1578">
        <x:v>12.69</x:v>
      </x:c>
      <x:c r="F195" s="1575">
        <x:v>0</x:v>
      </x:c>
      <x:c r="G195" s="1575">
        <x:v>0</x:v>
      </x:c>
      <x:c r="H195" s="1578">
        <x:v>0</x:v>
      </x:c>
      <x:c r="I195" s="1592">
        <x:v>0</x:v>
      </x:c>
    </x:row>
    <x:row r="196" ht="31" customHeight="1">
      <x:c r="A196" s="1866" t="s">
        <x:v>416</x:v>
      </x:c>
      <x:c r="B196" s="1823" t="s">
        <x:v>417</x:v>
      </x:c>
      <x:c r="C196" s="249" t="s">
        <x:v>152</x:v>
      </x:c>
      <x:c r="D196" s="1576">
        <x:v>40</x:v>
      </x:c>
      <x:c r="E196" s="1579">
        <x:v>15.51</x:v>
      </x:c>
      <x:c r="F196" s="1576">
        <x:v>0</x:v>
      </x:c>
      <x:c r="G196" s="1576">
        <x:v>0</x:v>
      </x:c>
      <x:c r="H196" s="1579">
        <x:v>0</x:v>
      </x:c>
      <x:c r="I196" s="1593">
        <x:v>0</x:v>
      </x:c>
    </x:row>
    <x:row r="197" ht="31" customHeight="1">
      <x:c r="A197" s="1865" t="s">
        <x:v>418</x:v>
      </x:c>
      <x:c r="B197" s="1821" t="s">
        <x:v>419</x:v>
      </x:c>
      <x:c r="C197" s="1501" t="s">
        <x:v>152</x:v>
      </x:c>
      <x:c r="D197" s="1575">
        <x:v>95</x:v>
      </x:c>
      <x:c r="E197" s="1578">
        <x:v>24.15</x:v>
      </x:c>
      <x:c r="F197" s="1575">
        <x:v>0</x:v>
      </x:c>
      <x:c r="G197" s="1575">
        <x:v>0</x:v>
      </x:c>
      <x:c r="H197" s="1578">
        <x:v>0</x:v>
      </x:c>
      <x:c r="I197" s="1592">
        <x:v>0</x:v>
      </x:c>
    </x:row>
    <x:row r="198" ht="31" customHeight="1">
      <x:c r="A198" s="1866" t="s">
        <x:v>420</x:v>
      </x:c>
      <x:c r="B198" s="1823" t="s">
        <x:v>421</x:v>
      </x:c>
      <x:c r="C198" s="249" t="s">
        <x:v>73</x:v>
      </x:c>
      <x:c r="D198" s="1576">
        <x:v>3</x:v>
      </x:c>
      <x:c r="E198" s="1579">
        <x:v>13.15</x:v>
      </x:c>
      <x:c r="F198" s="1576">
        <x:v>0</x:v>
      </x:c>
      <x:c r="G198" s="1576">
        <x:v>0</x:v>
      </x:c>
      <x:c r="H198" s="1579">
        <x:v>0</x:v>
      </x:c>
      <x:c r="I198" s="1593">
        <x:v>0</x:v>
      </x:c>
    </x:row>
    <x:row r="199" ht="31" customHeight="1">
      <x:c r="A199" s="1865" t="s">
        <x:v>422</x:v>
      </x:c>
      <x:c r="B199" s="1821" t="s">
        <x:v>423</x:v>
      </x:c>
      <x:c r="C199" s="1501" t="s">
        <x:v>73</x:v>
      </x:c>
      <x:c r="D199" s="1575">
        <x:v>6</x:v>
      </x:c>
      <x:c r="E199" s="1578">
        <x:v>15.03</x:v>
      </x:c>
      <x:c r="F199" s="1575">
        <x:v>0</x:v>
      </x:c>
      <x:c r="G199" s="1575">
        <x:v>0</x:v>
      </x:c>
      <x:c r="H199" s="1578">
        <x:v>0</x:v>
      </x:c>
      <x:c r="I199" s="1592">
        <x:v>0</x:v>
      </x:c>
    </x:row>
    <x:row r="200" ht="31" customHeight="1">
      <x:c r="A200" s="1866" t="s">
        <x:v>424</x:v>
      </x:c>
      <x:c r="B200" s="1823" t="s">
        <x:v>425</x:v>
      </x:c>
      <x:c r="C200" s="249" t="s">
        <x:v>73</x:v>
      </x:c>
      <x:c r="D200" s="1576">
        <x:v>9</x:v>
      </x:c>
      <x:c r="E200" s="1579">
        <x:v>21.45</x:v>
      </x:c>
      <x:c r="F200" s="1576">
        <x:v>0</x:v>
      </x:c>
      <x:c r="G200" s="1576">
        <x:v>0</x:v>
      </x:c>
      <x:c r="H200" s="1579">
        <x:v>0</x:v>
      </x:c>
      <x:c r="I200" s="1593">
        <x:v>0</x:v>
      </x:c>
    </x:row>
    <x:row r="201" ht="43" customHeight="1">
      <x:c r="A201" s="1865" t="s">
        <x:v>426</x:v>
      </x:c>
      <x:c r="B201" s="1821" t="s">
        <x:v>427</x:v>
      </x:c>
      <x:c r="C201" s="1501" t="s">
        <x:v>73</x:v>
      </x:c>
      <x:c r="D201" s="1575">
        <x:v>9</x:v>
      </x:c>
      <x:c r="E201" s="1578">
        <x:v>9.21</x:v>
      </x:c>
      <x:c r="F201" s="1575">
        <x:v>0</x:v>
      </x:c>
      <x:c r="G201" s="1575">
        <x:v>0</x:v>
      </x:c>
      <x:c r="H201" s="1578">
        <x:v>0</x:v>
      </x:c>
      <x:c r="I201" s="1592">
        <x:v>0</x:v>
      </x:c>
    </x:row>
    <x:row r="202" ht="31" customHeight="1">
      <x:c r="A202" s="1866" t="s">
        <x:v>428</x:v>
      </x:c>
      <x:c r="B202" s="1823" t="s">
        <x:v>429</x:v>
      </x:c>
      <x:c r="C202" s="249" t="s">
        <x:v>73</x:v>
      </x:c>
      <x:c r="D202" s="1576">
        <x:v>3</x:v>
      </x:c>
      <x:c r="E202" s="1579">
        <x:v>11.44</x:v>
      </x:c>
      <x:c r="F202" s="1576">
        <x:v>0</x:v>
      </x:c>
      <x:c r="G202" s="1576">
        <x:v>0</x:v>
      </x:c>
      <x:c r="H202" s="1579">
        <x:v>0</x:v>
      </x:c>
      <x:c r="I202" s="1593">
        <x:v>0</x:v>
      </x:c>
    </x:row>
    <x:row r="203" ht="43" customHeight="1">
      <x:c r="A203" s="1865" t="s">
        <x:v>430</x:v>
      </x:c>
      <x:c r="B203" s="1821" t="s">
        <x:v>431</x:v>
      </x:c>
      <x:c r="C203" s="1501" t="s">
        <x:v>73</x:v>
      </x:c>
      <x:c r="D203" s="1575">
        <x:v>4</x:v>
      </x:c>
      <x:c r="E203" s="1578">
        <x:v>20.79</x:v>
      </x:c>
      <x:c r="F203" s="1575">
        <x:v>0</x:v>
      </x:c>
      <x:c r="G203" s="1575">
        <x:v>0</x:v>
      </x:c>
      <x:c r="H203" s="1578">
        <x:v>0</x:v>
      </x:c>
      <x:c r="I203" s="1592">
        <x:v>0</x:v>
      </x:c>
    </x:row>
    <x:row r="204" ht="43" customHeight="1">
      <x:c r="A204" s="1866" t="s">
        <x:v>432</x:v>
      </x:c>
      <x:c r="B204" s="1823" t="s">
        <x:v>433</x:v>
      </x:c>
      <x:c r="C204" s="249" t="s">
        <x:v>73</x:v>
      </x:c>
      <x:c r="D204" s="1576">
        <x:v>6</x:v>
      </x:c>
      <x:c r="E204" s="1579">
        <x:v>16.52</x:v>
      </x:c>
      <x:c r="F204" s="1576">
        <x:v>0</x:v>
      </x:c>
      <x:c r="G204" s="1576">
        <x:v>0</x:v>
      </x:c>
      <x:c r="H204" s="1579">
        <x:v>0</x:v>
      </x:c>
      <x:c r="I204" s="1593">
        <x:v>0</x:v>
      </x:c>
    </x:row>
    <x:row r="205" ht="23" customHeight="1">
      <x:c r="A205" s="774" t="s">
        <x:v>434</x:v>
      </x:c>
      <x:c r="B205" s="515" t="s">
        <x:v>435</x:v>
      </x:c>
      <x:c r="C205" s="515"/>
      <x:c r="D205" s="1855"/>
      <x:c r="E205" s="1856"/>
      <x:c r="F205" s="1855"/>
      <x:c r="G205" s="1855"/>
      <x:c r="H205" s="1856"/>
      <x:c r="I205" s="1858"/>
    </x:row>
    <x:row r="206" ht="23" customHeight="1">
      <x:c r="A206" s="792" t="s">
        <x:v>436</x:v>
      </x:c>
      <x:c r="B206" s="539" t="s">
        <x:v>437</x:v>
      </x:c>
      <x:c r="C206" s="539"/>
      <x:c r="D206" s="1859"/>
      <x:c r="E206" s="1860"/>
      <x:c r="F206" s="1859"/>
      <x:c r="G206" s="1859"/>
      <x:c r="H206" s="1860"/>
      <x:c r="I206" s="1862"/>
    </x:row>
    <x:row r="207" ht="31" customHeight="1">
      <x:c r="A207" s="1865" t="s">
        <x:v>438</x:v>
      </x:c>
      <x:c r="B207" s="1821" t="s">
        <x:v>439</x:v>
      </x:c>
      <x:c r="C207" s="1501" t="s">
        <x:v>65</x:v>
      </x:c>
      <x:c r="D207" s="1575">
        <x:v>5.23</x:v>
      </x:c>
      <x:c r="E207" s="1578">
        <x:v>112.47</x:v>
      </x:c>
      <x:c r="F207" s="1575">
        <x:v>0</x:v>
      </x:c>
      <x:c r="G207" s="1575">
        <x:v>0</x:v>
      </x:c>
      <x:c r="H207" s="1578">
        <x:v>0</x:v>
      </x:c>
      <x:c r="I207" s="1592">
        <x:v>0</x:v>
      </x:c>
    </x:row>
    <x:row r="208" ht="43" customHeight="1">
      <x:c r="A208" s="1866" t="s">
        <x:v>440</x:v>
      </x:c>
      <x:c r="B208" s="1823" t="s">
        <x:v>441</x:v>
      </x:c>
      <x:c r="C208" s="249" t="s">
        <x:v>62</x:v>
      </x:c>
      <x:c r="D208" s="1576">
        <x:v>0.85</x:v>
      </x:c>
      <x:c r="E208" s="1579">
        <x:v>773.06</x:v>
      </x:c>
      <x:c r="F208" s="1576">
        <x:v>0</x:v>
      </x:c>
      <x:c r="G208" s="1576">
        <x:v>0</x:v>
      </x:c>
      <x:c r="H208" s="1579">
        <x:v>0</x:v>
      </x:c>
      <x:c r="I208" s="1593">
        <x:v>0</x:v>
      </x:c>
    </x:row>
    <x:row r="209" ht="31" customHeight="1">
      <x:c r="A209" s="1865" t="s">
        <x:v>442</x:v>
      </x:c>
      <x:c r="B209" s="1821" t="s">
        <x:v>443</x:v>
      </x:c>
      <x:c r="C209" s="1501" t="s">
        <x:v>62</x:v>
      </x:c>
      <x:c r="D209" s="1575">
        <x:v>0.85</x:v>
      </x:c>
      <x:c r="E209" s="1578">
        <x:v>364.3</x:v>
      </x:c>
      <x:c r="F209" s="1575">
        <x:v>0</x:v>
      </x:c>
      <x:c r="G209" s="1575">
        <x:v>0</x:v>
      </x:c>
      <x:c r="H209" s="1578">
        <x:v>0</x:v>
      </x:c>
      <x:c r="I209" s="1592">
        <x:v>0</x:v>
      </x:c>
    </x:row>
    <x:row r="210" ht="31" customHeight="1">
      <x:c r="A210" s="1866" t="s">
        <x:v>444</x:v>
      </x:c>
      <x:c r="B210" s="1823" t="s">
        <x:v>445</x:v>
      </x:c>
      <x:c r="C210" s="249" t="s">
        <x:v>446</x:v>
      </x:c>
      <x:c r="D210" s="1576">
        <x:v>53.22</x:v>
      </x:c>
      <x:c r="E210" s="1579">
        <x:v>14.85</x:v>
      </x:c>
      <x:c r="F210" s="1576">
        <x:v>0</x:v>
      </x:c>
      <x:c r="G210" s="1576">
        <x:v>0</x:v>
      </x:c>
      <x:c r="H210" s="1579">
        <x:v>0</x:v>
      </x:c>
      <x:c r="I210" s="1593">
        <x:v>0</x:v>
      </x:c>
    </x:row>
    <x:row r="211" ht="31" customHeight="1">
      <x:c r="A211" s="1865" t="s">
        <x:v>447</x:v>
      </x:c>
      <x:c r="B211" s="1821" t="s">
        <x:v>448</x:v>
      </x:c>
      <x:c r="C211" s="1501" t="s">
        <x:v>446</x:v>
      </x:c>
      <x:c r="D211" s="1575">
        <x:v>5.2</x:v>
      </x:c>
      <x:c r="E211" s="1578">
        <x:v>19.61</x:v>
      </x:c>
      <x:c r="F211" s="1575">
        <x:v>0</x:v>
      </x:c>
      <x:c r="G211" s="1575">
        <x:v>0</x:v>
      </x:c>
      <x:c r="H211" s="1578">
        <x:v>0</x:v>
      </x:c>
      <x:c r="I211" s="1592">
        <x:v>0</x:v>
      </x:c>
    </x:row>
    <x:row r="212" ht="23" customHeight="1">
      <x:c r="A212" s="792" t="s">
        <x:v>449</x:v>
      </x:c>
      <x:c r="B212" s="539" t="s">
        <x:v>450</x:v>
      </x:c>
      <x:c r="C212" s="539"/>
      <x:c r="D212" s="1859"/>
      <x:c r="E212" s="1860"/>
      <x:c r="F212" s="1859"/>
      <x:c r="G212" s="1859"/>
      <x:c r="H212" s="1860"/>
      <x:c r="I212" s="1862"/>
    </x:row>
    <x:row r="213" ht="43" customHeight="1">
      <x:c r="A213" s="1866" t="s">
        <x:v>451</x:v>
      </x:c>
      <x:c r="B213" s="1823" t="s">
        <x:v>452</x:v>
      </x:c>
      <x:c r="C213" s="249" t="s">
        <x:v>65</x:v>
      </x:c>
      <x:c r="D213" s="1576">
        <x:v>8.08</x:v>
      </x:c>
      <x:c r="E213" s="1579">
        <x:v>113.16</x:v>
      </x:c>
      <x:c r="F213" s="1576">
        <x:v>0</x:v>
      </x:c>
      <x:c r="G213" s="1576">
        <x:v>0</x:v>
      </x:c>
      <x:c r="H213" s="1579">
        <x:v>0</x:v>
      </x:c>
      <x:c r="I213" s="1593">
        <x:v>0</x:v>
      </x:c>
    </x:row>
    <x:row r="214" ht="43" customHeight="1">
      <x:c r="A214" s="1865" t="s">
        <x:v>453</x:v>
      </x:c>
      <x:c r="B214" s="1821" t="s">
        <x:v>454</x:v>
      </x:c>
      <x:c r="C214" s="1501" t="s">
        <x:v>62</x:v>
      </x:c>
      <x:c r="D214" s="1575">
        <x:v>0.46</x:v>
      </x:c>
      <x:c r="E214" s="1578">
        <x:v>773.06</x:v>
      </x:c>
      <x:c r="F214" s="1575">
        <x:v>0</x:v>
      </x:c>
      <x:c r="G214" s="1575">
        <x:v>0</x:v>
      </x:c>
      <x:c r="H214" s="1578">
        <x:v>0</x:v>
      </x:c>
      <x:c r="I214" s="1592">
        <x:v>0</x:v>
      </x:c>
    </x:row>
    <x:row r="215" ht="31" customHeight="1">
      <x:c r="A215" s="1866" t="s">
        <x:v>455</x:v>
      </x:c>
      <x:c r="B215" s="1823" t="s">
        <x:v>443</x:v>
      </x:c>
      <x:c r="C215" s="249" t="s">
        <x:v>62</x:v>
      </x:c>
      <x:c r="D215" s="1576">
        <x:v>0.46</x:v>
      </x:c>
      <x:c r="E215" s="1579">
        <x:v>364.3</x:v>
      </x:c>
      <x:c r="F215" s="1576">
        <x:v>0</x:v>
      </x:c>
      <x:c r="G215" s="1576">
        <x:v>0</x:v>
      </x:c>
      <x:c r="H215" s="1579">
        <x:v>0</x:v>
      </x:c>
      <x:c r="I215" s="1593">
        <x:v>0</x:v>
      </x:c>
    </x:row>
    <x:row r="216" ht="43" customHeight="1">
      <x:c r="A216" s="1865" t="s">
        <x:v>456</x:v>
      </x:c>
      <x:c r="B216" s="1821" t="s">
        <x:v>457</x:v>
      </x:c>
      <x:c r="C216" s="1501" t="s">
        <x:v>446</x:v>
      </x:c>
      <x:c r="D216" s="1575">
        <x:v>33</x:v>
      </x:c>
      <x:c r="E216" s="1578">
        <x:v>12.81</x:v>
      </x:c>
      <x:c r="F216" s="1575">
        <x:v>0</x:v>
      </x:c>
      <x:c r="G216" s="1575">
        <x:v>0</x:v>
      </x:c>
      <x:c r="H216" s="1578">
        <x:v>0</x:v>
      </x:c>
      <x:c r="I216" s="1592">
        <x:v>0</x:v>
      </x:c>
    </x:row>
    <x:row r="217" ht="43" customHeight="1">
      <x:c r="A217" s="1866" t="s">
        <x:v>458</x:v>
      </x:c>
      <x:c r="B217" s="1823" t="s">
        <x:v>459</x:v>
      </x:c>
      <x:c r="C217" s="249" t="s">
        <x:v>446</x:v>
      </x:c>
      <x:c r="D217" s="1576">
        <x:v>9.6</x:v>
      </x:c>
      <x:c r="E217" s="1579">
        <x:v>16.41</x:v>
      </x:c>
      <x:c r="F217" s="1576">
        <x:v>0</x:v>
      </x:c>
      <x:c r="G217" s="1576">
        <x:v>0</x:v>
      </x:c>
      <x:c r="H217" s="1579">
        <x:v>0</x:v>
      </x:c>
      <x:c r="I217" s="1593">
        <x:v>0</x:v>
      </x:c>
    </x:row>
    <x:row r="218" ht="23" customHeight="1">
      <x:c r="A218" s="792" t="s">
        <x:v>460</x:v>
      </x:c>
      <x:c r="B218" s="539" t="s">
        <x:v>461</x:v>
      </x:c>
      <x:c r="C218" s="539"/>
      <x:c r="D218" s="1859"/>
      <x:c r="E218" s="1860"/>
      <x:c r="F218" s="1859"/>
      <x:c r="G218" s="1859"/>
      <x:c r="H218" s="1860"/>
      <x:c r="I218" s="1862"/>
    </x:row>
    <x:row r="219" ht="43" customHeight="1">
      <x:c r="A219" s="1865" t="s">
        <x:v>462</x:v>
      </x:c>
      <x:c r="B219" s="1821" t="s">
        <x:v>452</x:v>
      </x:c>
      <x:c r="C219" s="1501" t="s">
        <x:v>65</x:v>
      </x:c>
      <x:c r="D219" s="1575">
        <x:v>8.03</x:v>
      </x:c>
      <x:c r="E219" s="1578">
        <x:v>113.16</x:v>
      </x:c>
      <x:c r="F219" s="1575">
        <x:v>0</x:v>
      </x:c>
      <x:c r="G219" s="1575">
        <x:v>0</x:v>
      </x:c>
      <x:c r="H219" s="1578">
        <x:v>0</x:v>
      </x:c>
      <x:c r="I219" s="1592">
        <x:v>0</x:v>
      </x:c>
    </x:row>
    <x:row r="220" ht="43" customHeight="1">
      <x:c r="A220" s="1866" t="s">
        <x:v>463</x:v>
      </x:c>
      <x:c r="B220" s="1823" t="s">
        <x:v>441</x:v>
      </x:c>
      <x:c r="C220" s="249" t="s">
        <x:v>62</x:v>
      </x:c>
      <x:c r="D220" s="1576">
        <x:v>0.46</x:v>
      </x:c>
      <x:c r="E220" s="1579">
        <x:v>773.06</x:v>
      </x:c>
      <x:c r="F220" s="1576">
        <x:v>0</x:v>
      </x:c>
      <x:c r="G220" s="1576">
        <x:v>0</x:v>
      </x:c>
      <x:c r="H220" s="1579">
        <x:v>0</x:v>
      </x:c>
      <x:c r="I220" s="1593">
        <x:v>0</x:v>
      </x:c>
    </x:row>
    <x:row r="221" ht="31" customHeight="1">
      <x:c r="A221" s="1865" t="s">
        <x:v>464</x:v>
      </x:c>
      <x:c r="B221" s="1821" t="s">
        <x:v>443</x:v>
      </x:c>
      <x:c r="C221" s="1501" t="s">
        <x:v>62</x:v>
      </x:c>
      <x:c r="D221" s="1575">
        <x:v>0.46</x:v>
      </x:c>
      <x:c r="E221" s="1578">
        <x:v>364.3</x:v>
      </x:c>
      <x:c r="F221" s="1575">
        <x:v>0</x:v>
      </x:c>
      <x:c r="G221" s="1575">
        <x:v>0</x:v>
      </x:c>
      <x:c r="H221" s="1578">
        <x:v>0</x:v>
      </x:c>
      <x:c r="I221" s="1592">
        <x:v>0</x:v>
      </x:c>
    </x:row>
    <x:row r="222" ht="43" customHeight="1">
      <x:c r="A222" s="1866" t="s">
        <x:v>465</x:v>
      </x:c>
      <x:c r="B222" s="1823" t="s">
        <x:v>457</x:v>
      </x:c>
      <x:c r="C222" s="249" t="s">
        <x:v>446</x:v>
      </x:c>
      <x:c r="D222" s="1576">
        <x:v>33</x:v>
      </x:c>
      <x:c r="E222" s="1579">
        <x:v>12.81</x:v>
      </x:c>
      <x:c r="F222" s="1576">
        <x:v>0</x:v>
      </x:c>
      <x:c r="G222" s="1576">
        <x:v>0</x:v>
      </x:c>
      <x:c r="H222" s="1579">
        <x:v>0</x:v>
      </x:c>
      <x:c r="I222" s="1593">
        <x:v>0</x:v>
      </x:c>
    </x:row>
    <x:row r="223" ht="43" customHeight="1">
      <x:c r="A223" s="1865" t="s">
        <x:v>466</x:v>
      </x:c>
      <x:c r="B223" s="1821" t="s">
        <x:v>459</x:v>
      </x:c>
      <x:c r="C223" s="1501" t="s">
        <x:v>446</x:v>
      </x:c>
      <x:c r="D223" s="1575">
        <x:v>9.5</x:v>
      </x:c>
      <x:c r="E223" s="1578">
        <x:v>16.41</x:v>
      </x:c>
      <x:c r="F223" s="1575">
        <x:v>0</x:v>
      </x:c>
      <x:c r="G223" s="1575">
        <x:v>0</x:v>
      </x:c>
      <x:c r="H223" s="1578">
        <x:v>0</x:v>
      </x:c>
      <x:c r="I223" s="1592">
        <x:v>0</x:v>
      </x:c>
    </x:row>
    <x:row r="224" ht="23" customHeight="1">
      <x:c r="A224" s="792" t="s">
        <x:v>467</x:v>
      </x:c>
      <x:c r="B224" s="539" t="s">
        <x:v>468</x:v>
      </x:c>
      <x:c r="C224" s="539"/>
      <x:c r="D224" s="1859"/>
      <x:c r="E224" s="1860"/>
      <x:c r="F224" s="1859"/>
      <x:c r="G224" s="1859"/>
      <x:c r="H224" s="1860"/>
      <x:c r="I224" s="1862"/>
    </x:row>
    <x:row r="225" ht="31" customHeight="1">
      <x:c r="A225" s="1866" t="s">
        <x:v>469</x:v>
      </x:c>
      <x:c r="B225" s="1823" t="s">
        <x:v>470</x:v>
      </x:c>
      <x:c r="C225" s="249" t="s">
        <x:v>65</x:v>
      </x:c>
      <x:c r="D225" s="1576">
        <x:v>8.44</x:v>
      </x:c>
      <x:c r="E225" s="1579">
        <x:v>136.12</x:v>
      </x:c>
      <x:c r="F225" s="1576">
        <x:v>0</x:v>
      </x:c>
      <x:c r="G225" s="1576">
        <x:v>0</x:v>
      </x:c>
      <x:c r="H225" s="1579">
        <x:v>0</x:v>
      </x:c>
      <x:c r="I225" s="1593">
        <x:v>0</x:v>
      </x:c>
    </x:row>
    <x:row r="226" ht="43" customHeight="1">
      <x:c r="A226" s="1865" t="s">
        <x:v>471</x:v>
      </x:c>
      <x:c r="B226" s="1821" t="s">
        <x:v>454</x:v>
      </x:c>
      <x:c r="C226" s="1501" t="s">
        <x:v>62</x:v>
      </x:c>
      <x:c r="D226" s="1575">
        <x:v>0.53</x:v>
      </x:c>
      <x:c r="E226" s="1578">
        <x:v>773.06</x:v>
      </x:c>
      <x:c r="F226" s="1575">
        <x:v>0</x:v>
      </x:c>
      <x:c r="G226" s="1575">
        <x:v>0</x:v>
      </x:c>
      <x:c r="H226" s="1578">
        <x:v>0</x:v>
      </x:c>
      <x:c r="I226" s="1592">
        <x:v>0</x:v>
      </x:c>
    </x:row>
    <x:row r="227" ht="31" customHeight="1">
      <x:c r="A227" s="1866" t="s">
        <x:v>472</x:v>
      </x:c>
      <x:c r="B227" s="1823" t="s">
        <x:v>443</x:v>
      </x:c>
      <x:c r="C227" s="249" t="s">
        <x:v>62</x:v>
      </x:c>
      <x:c r="D227" s="1576">
        <x:v>0.53</x:v>
      </x:c>
      <x:c r="E227" s="1579">
        <x:v>364.3</x:v>
      </x:c>
      <x:c r="F227" s="1576">
        <x:v>0</x:v>
      </x:c>
      <x:c r="G227" s="1576">
        <x:v>0</x:v>
      </x:c>
      <x:c r="H227" s="1579">
        <x:v>0</x:v>
      </x:c>
      <x:c r="I227" s="1593">
        <x:v>0</x:v>
      </x:c>
    </x:row>
    <x:row r="228" ht="31" customHeight="1">
      <x:c r="A228" s="1865" t="s">
        <x:v>473</x:v>
      </x:c>
      <x:c r="B228" s="1821" t="s">
        <x:v>474</x:v>
      </x:c>
      <x:c r="C228" s="1501" t="s">
        <x:v>446</x:v>
      </x:c>
      <x:c r="D228" s="1575">
        <x:v>29.25</x:v>
      </x:c>
      <x:c r="E228" s="1578">
        <x:v>12.81</x:v>
      </x:c>
      <x:c r="F228" s="1575">
        <x:v>0</x:v>
      </x:c>
      <x:c r="G228" s="1575">
        <x:v>0</x:v>
      </x:c>
      <x:c r="H228" s="1578">
        <x:v>0</x:v>
      </x:c>
      <x:c r="I228" s="1592">
        <x:v>0</x:v>
      </x:c>
    </x:row>
    <x:row r="229" ht="43" customHeight="1">
      <x:c r="A229" s="1866" t="s">
        <x:v>475</x:v>
      </x:c>
      <x:c r="B229" s="1823" t="s">
        <x:v>459</x:v>
      </x:c>
      <x:c r="C229" s="249" t="s">
        <x:v>446</x:v>
      </x:c>
      <x:c r="D229" s="1576">
        <x:v>11.55</x:v>
      </x:c>
      <x:c r="E229" s="1579">
        <x:v>16.41</x:v>
      </x:c>
      <x:c r="F229" s="1576">
        <x:v>0</x:v>
      </x:c>
      <x:c r="G229" s="1576">
        <x:v>0</x:v>
      </x:c>
      <x:c r="H229" s="1579">
        <x:v>0</x:v>
      </x:c>
      <x:c r="I229" s="1593">
        <x:v>0</x:v>
      </x:c>
    </x:row>
    <x:row r="230" ht="23" customHeight="1">
      <x:c r="A230" s="774" t="s">
        <x:v>476</x:v>
      </x:c>
      <x:c r="B230" s="515" t="s">
        <x:v>477</x:v>
      </x:c>
      <x:c r="C230" s="515"/>
      <x:c r="D230" s="1855"/>
      <x:c r="E230" s="1856"/>
      <x:c r="F230" s="1855"/>
      <x:c r="G230" s="1855"/>
      <x:c r="H230" s="1856"/>
      <x:c r="I230" s="1858"/>
    </x:row>
    <x:row r="231" ht="43" customHeight="1">
      <x:c r="A231" s="1865" t="s">
        <x:v>478</x:v>
      </x:c>
      <x:c r="B231" s="1821" t="s">
        <x:v>479</x:v>
      </x:c>
      <x:c r="C231" s="1501" t="s">
        <x:v>73</x:v>
      </x:c>
      <x:c r="D231" s="1575">
        <x:v>19</x:v>
      </x:c>
      <x:c r="E231" s="1578">
        <x:v>34.49</x:v>
      </x:c>
      <x:c r="F231" s="1575">
        <x:v>0</x:v>
      </x:c>
      <x:c r="G231" s="1575">
        <x:v>0</x:v>
      </x:c>
      <x:c r="H231" s="1578">
        <x:v>0</x:v>
      </x:c>
      <x:c r="I231" s="1592">
        <x:v>0</x:v>
      </x:c>
    </x:row>
    <x:row r="232" ht="24" customHeight="1">
      <x:c r="A232" s="1866" t="s">
        <x:v>480</x:v>
      </x:c>
      <x:c r="B232" s="1823" t="s">
        <x:v>481</x:v>
      </x:c>
      <x:c r="C232" s="249" t="s">
        <x:v>73</x:v>
      </x:c>
      <x:c r="D232" s="1576">
        <x:v>7</x:v>
      </x:c>
      <x:c r="E232" s="1579">
        <x:v>219.12</x:v>
      </x:c>
      <x:c r="F232" s="1576">
        <x:v>0</x:v>
      </x:c>
      <x:c r="G232" s="1576">
        <x:v>0</x:v>
      </x:c>
      <x:c r="H232" s="1579">
        <x:v>0</x:v>
      </x:c>
      <x:c r="I232" s="1593">
        <x:v>0</x:v>
      </x:c>
    </x:row>
    <x:row r="233" ht="31" customHeight="1">
      <x:c r="A233" s="1865" t="s">
        <x:v>482</x:v>
      </x:c>
      <x:c r="B233" s="1821" t="s">
        <x:v>483</x:v>
      </x:c>
      <x:c r="C233" s="1501" t="s">
        <x:v>73</x:v>
      </x:c>
      <x:c r="D233" s="1575">
        <x:v>7</x:v>
      </x:c>
      <x:c r="E233" s="1578">
        <x:v>18.75</x:v>
      </x:c>
      <x:c r="F233" s="1575">
        <x:v>0</x:v>
      </x:c>
      <x:c r="G233" s="1575">
        <x:v>0</x:v>
      </x:c>
      <x:c r="H233" s="1578">
        <x:v>0</x:v>
      </x:c>
      <x:c r="I233" s="1592">
        <x:v>0</x:v>
      </x:c>
    </x:row>
    <x:row r="234" ht="24" customHeight="1">
      <x:c r="A234" s="1866" t="s">
        <x:v>484</x:v>
      </x:c>
      <x:c r="B234" s="1823" t="s">
        <x:v>485</x:v>
      </x:c>
      <x:c r="C234" s="249" t="s">
        <x:v>73</x:v>
      </x:c>
      <x:c r="D234" s="1576">
        <x:v>7</x:v>
      </x:c>
      <x:c r="E234" s="1579">
        <x:v>337.57</x:v>
      </x:c>
      <x:c r="F234" s="1576">
        <x:v>0</x:v>
      </x:c>
      <x:c r="G234" s="1576">
        <x:v>0</x:v>
      </x:c>
      <x:c r="H234" s="1579">
        <x:v>0</x:v>
      </x:c>
      <x:c r="I234" s="1593">
        <x:v>0</x:v>
      </x:c>
    </x:row>
    <x:row r="235" ht="31" customHeight="1">
      <x:c r="A235" s="1865" t="s">
        <x:v>486</x:v>
      </x:c>
      <x:c r="B235" s="1821" t="s">
        <x:v>487</x:v>
      </x:c>
      <x:c r="C235" s="1501" t="s">
        <x:v>73</x:v>
      </x:c>
      <x:c r="D235" s="1575">
        <x:v>6</x:v>
      </x:c>
      <x:c r="E235" s="1578">
        <x:v>19.66</x:v>
      </x:c>
      <x:c r="F235" s="1575">
        <x:v>0</x:v>
      </x:c>
      <x:c r="G235" s="1575">
        <x:v>0</x:v>
      </x:c>
      <x:c r="H235" s="1578">
        <x:v>0</x:v>
      </x:c>
      <x:c r="I235" s="1592">
        <x:v>0</x:v>
      </x:c>
    </x:row>
    <x:row r="236">
      <x:c r="A236" s="1570"/>
      <x:c r="B236" s="1514"/>
      <x:c r="C236" s="1514"/>
      <x:c r="D236" s="1868"/>
      <x:c r="E236" s="1869"/>
      <x:c r="F236" s="1868"/>
      <x:c r="G236" s="1868"/>
      <x:c r="H236" s="1869"/>
      <x:c r="I236" s="1870"/>
    </x:row>
    <x:row r="237" ht="30" customHeight="1">
      <x:c r="A237" s="894" t="s">
        <x:v>516</x:v>
      </x:c>
      <x:c r="B237" s="894"/>
      <x:c r="C237" s="894"/>
      <x:c r="D237" s="894"/>
      <x:c r="E237" s="894"/>
      <x:c r="F237" s="894"/>
      <x:c r="G237" s="894"/>
      <x:c r="H237" s="894"/>
      <x:c r="I237" s="894"/>
    </x:row>
  </x:sheetData>
  <x:mergeCells>
    <x:mergeCell ref="A1:I1"/>
    <x:mergeCell ref="A3:I3"/>
    <x:mergeCell ref="A237:I2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5" hidden="0" customWidth="1"/>
    <x:col min="4" max="4" width="14" hidden="0" customWidth="1"/>
    <x:col min="5" max="5" width="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" hidden="0" customWidth="1"/>
    <x:col min="15" max="15" width="2" hidden="0" customWidth="1"/>
    <x:col min="16" max="16" width="2" hidden="0" customWidth="1"/>
  </x:cols>
  <x:sheetData>
    <x:row r="1" ht="29" customHeight="1">
      <x:c r="A1" s="1871" t="str">
        <x:v>PAINEL EXECUTIVO · BOLETIM DE MEDIÇÃO</x:v>
      </x:c>
      <x:c r="B1" s="1871"/>
      <x:c r="C1" s="1871"/>
      <x:c r="D1" s="1871"/>
      <x:c r="E1" s="1871"/>
      <x:c r="F1" s="1871"/>
      <x:c r="G1" s="1871"/>
      <x:c r="H1" s="1871"/>
      <x:c r="I1" s="1871"/>
      <x:c r="J1" s="1871"/>
      <x:c r="K1" s="1871"/>
      <x:c r="L1" s="1871"/>
      <x:c r="M1" s="1871"/>
      <x:c r="N1" s="1872"/>
      <x:c r="O1" s="1872"/>
      <x:c r="P1" s="1872"/>
    </x:row>
    <x:row r="2" ht="29" customHeight="1">
      <x:c r="A2" s="1871"/>
      <x:c r="B2" s="1871"/>
      <x:c r="C2" s="1871"/>
      <x:c r="D2" s="1871"/>
      <x:c r="E2" s="1871"/>
      <x:c r="F2" s="1871"/>
      <x:c r="G2" s="1871"/>
      <x:c r="H2" s="1871"/>
      <x:c r="I2" s="1871"/>
      <x:c r="J2" s="1871"/>
      <x:c r="K2" s="1871"/>
      <x:c r="L2" s="1871"/>
      <x:c r="M2" s="1871"/>
      <x:c r="N2" s="1872"/>
      <x:c r="O2" s="1872"/>
      <x:c r="P2" s="1872"/>
    </x:row>
    <x:row r="3" ht="22" customHeight="1">
      <x:c r="A3" s="1873" t="str">
        <x:f>"CRAS PASSO  |  "&amp;Boletim!A9&amp;"  |  Emissão: "&amp;TEXT(Boletim!C9,"dd/mm/yyyy")</x:f>
        <x:v>CRAS PASSO  |  BM-01  |  Emissão: 01/07/2026</x:v>
      </x:c>
      <x:c r="B3" s="1873"/>
      <x:c r="C3" s="1873"/>
      <x:c r="D3" s="1873"/>
      <x:c r="E3" s="1873"/>
      <x:c r="F3" s="1873"/>
      <x:c r="G3" s="1873"/>
      <x:c r="H3" s="1873"/>
      <x:c r="I3" s="1873"/>
      <x:c r="J3" s="1873"/>
      <x:c r="K3" s="1873"/>
      <x:c r="L3" s="1873"/>
      <x:c r="M3" s="1873"/>
      <x:c r="N3" s="1872"/>
      <x:c r="O3" s="1872"/>
      <x:c r="P3" s="1872"/>
    </x:row>
    <x:row r="4">
      <x:c r="A4" s="1874"/>
      <x:c r="B4" s="1874"/>
      <x:c r="C4" s="1874"/>
      <x:c r="D4" s="1874"/>
      <x:c r="E4" s="1874"/>
      <x:c r="F4" s="1874"/>
      <x:c r="G4" s="1874"/>
      <x:c r="H4" s="1874"/>
      <x:c r="I4" s="1874"/>
      <x:c r="J4" s="1874"/>
      <x:c r="K4" s="1874"/>
      <x:c r="L4" s="1874"/>
      <x:c r="M4" s="1874"/>
      <x:c r="N4" s="1872"/>
      <x:c r="O4" s="1872"/>
      <x:c r="P4" s="1872"/>
    </x:row>
    <x:row r="5" ht="23" customHeight="1">
      <x:c r="A5" s="374" t="str">
        <x:v>VALOR DO CONTRATO</x:v>
      </x:c>
      <x:c r="B5" s="375"/>
      <x:c r="C5" s="376"/>
      <x:c r="D5" s="374" t="str">
        <x:v>MEDIÇÃO DO PERÍODO</x:v>
      </x:c>
      <x:c r="E5" s="375"/>
      <x:c r="F5" s="376"/>
      <x:c r="G5" s="374" t="str">
        <x:v>ACUMULADO EXECUTADO</x:v>
      </x:c>
      <x:c r="H5" s="375"/>
      <x:c r="I5" s="376"/>
      <x:c r="J5" s="374" t="str">
        <x:v>SALDO CONTRATUAL</x:v>
      </x:c>
      <x:c r="K5" s="375"/>
      <x:c r="L5" s="375"/>
      <x:c r="M5" s="376"/>
      <x:c r="N5" s="1872"/>
      <x:c r="O5" s="1872"/>
      <x:c r="P5" s="1872"/>
    </x:row>
    <x:row r="6" ht="30" customHeight="1">
      <x:c r="A6" s="1875" t="str">
        <x:f>"R$ "&amp;INT(ROUND('Base e Cálculos'!F236,2))&amp;","&amp;INT(ROUND((ROUND('Base e Cálculos'!F236,2)-INT(ROUND('Base e Cálculos'!F236,2)))*100,0)/10)&amp;MOD(ROUND((ROUND('Base e Cálculos'!F236,2)-INT(ROUND('Base e Cálculos'!F236,2)))*100,0),10)</x:f>
        <x:v>R$ 236951,00</x:v>
      </x:c>
      <x:c r="B6" s="1876"/>
      <x:c r="C6" s="1877"/>
      <x:c r="D6" s="1875" t="str">
        <x:f>"R$ "&amp;INT(ROUND('Base e Cálculos'!K236,2))&amp;","&amp;INT(ROUND((ROUND('Base e Cálculos'!K236,2)-INT(ROUND('Base e Cálculos'!K236,2)))*100,0)/10)&amp;MOD(ROUND((ROUND('Base e Cálculos'!K236,2)-INT(ROUND('Base e Cálculos'!K236,2)))*100,0),10)</x:f>
        <x:v>R$ 0,00</x:v>
      </x:c>
      <x:c r="E6" s="1876"/>
      <x:c r="F6" s="1877"/>
      <x:c r="G6" s="1875" t="str">
        <x:f>"R$ "&amp;INT(ROUND('Base e Cálculos'!L236,2))&amp;","&amp;INT(ROUND((ROUND('Base e Cálculos'!L236,2)-INT(ROUND('Base e Cálculos'!L236,2)))*100,0)/10)&amp;MOD(ROUND((ROUND('Base e Cálculos'!L236,2)-INT(ROUND('Base e Cálculos'!L236,2)))*100,0),10)</x:f>
        <x:v>R$ 0,00</x:v>
      </x:c>
      <x:c r="H6" s="1876"/>
      <x:c r="I6" s="1877"/>
      <x:c r="J6" s="1875" t="str">
        <x:f>"R$ "&amp;INT(ROUND('Base e Cálculos'!O236,2))&amp;","&amp;INT(ROUND((ROUND('Base e Cálculos'!O236,2)-INT(ROUND('Base e Cálculos'!O236,2)))*100,0)/10)&amp;MOD(ROUND((ROUND('Base e Cálculos'!O236,2)-INT(ROUND('Base e Cálculos'!O236,2)))*100,0),10)</x:f>
        <x:v>R$ 236951,00</x:v>
      </x:c>
      <x:c r="K6" s="1876"/>
      <x:c r="L6" s="1876"/>
      <x:c r="M6" s="1877"/>
      <x:c r="N6" s="1872"/>
      <x:c r="O6" s="1872"/>
      <x:c r="P6" s="1872"/>
    </x:row>
    <x:row r="7" ht="30" customHeight="1">
      <x:c r="A7" s="1878"/>
      <x:c r="B7" s="1879"/>
      <x:c r="C7" s="1880"/>
      <x:c r="D7" s="1878"/>
      <x:c r="E7" s="1879"/>
      <x:c r="F7" s="1880"/>
      <x:c r="G7" s="1878"/>
      <x:c r="H7" s="1879"/>
      <x:c r="I7" s="1880"/>
      <x:c r="J7" s="1878"/>
      <x:c r="K7" s="1879"/>
      <x:c r="L7" s="1879"/>
      <x:c r="M7" s="1880"/>
      <x:c r="N7" s="1872"/>
      <x:c r="O7" s="1872"/>
      <x:c r="P7" s="1872"/>
    </x:row>
    <x:row r="8" ht="30" customHeight="1">
      <x:c r="A8" s="1881"/>
      <x:c r="B8" s="1882"/>
      <x:c r="C8" s="1883"/>
      <x:c r="D8" s="1881"/>
      <x:c r="E8" s="1882"/>
      <x:c r="F8" s="1883"/>
      <x:c r="G8" s="1881"/>
      <x:c r="H8" s="1882"/>
      <x:c r="I8" s="1883"/>
      <x:c r="J8" s="1881"/>
      <x:c r="K8" s="1882"/>
      <x:c r="L8" s="1882"/>
      <x:c r="M8" s="1883"/>
      <x:c r="N8" s="1872"/>
      <x:c r="O8" s="1872"/>
      <x:c r="P8" s="1872"/>
    </x:row>
    <x:row r="9">
      <x:c r="A9" s="1874"/>
      <x:c r="B9" s="1874"/>
      <x:c r="C9" s="1874"/>
      <x:c r="D9" s="1874"/>
      <x:c r="E9" s="1874"/>
      <x:c r="F9" s="1874"/>
      <x:c r="G9" s="1874"/>
      <x:c r="H9" s="1874"/>
      <x:c r="I9" s="1874"/>
      <x:c r="J9" s="1874"/>
      <x:c r="K9" s="1874"/>
      <x:c r="L9" s="1874"/>
      <x:c r="M9" s="1874"/>
      <x:c r="N9" s="1872"/>
      <x:c r="O9" s="1872"/>
      <x:c r="P9" s="1872"/>
    </x:row>
    <x:row r="10" ht="23" customHeight="1">
      <x:c r="A10" s="1836" t="str">
        <x:v>% EXECUTADO</x:v>
      </x:c>
      <x:c r="B10" s="1837"/>
      <x:c r="C10" s="1838"/>
      <x:c r="D10" s="1836" t="str">
        <x:v>ITENS MEDIDOS</x:v>
      </x:c>
      <x:c r="E10" s="1837"/>
      <x:c r="F10" s="1838"/>
      <x:c r="G10" s="1836" t="str">
        <x:v>TOTAL DE ITENS</x:v>
      </x:c>
      <x:c r="H10" s="1837"/>
      <x:c r="I10" s="1838"/>
      <x:c r="J10" s="1836" t="str">
        <x:v>STATUS DA MEDIÇÃO</x:v>
      </x:c>
      <x:c r="K10" s="1837"/>
      <x:c r="L10" s="1837"/>
      <x:c r="M10" s="1838"/>
      <x:c r="N10" s="1872"/>
      <x:c r="O10" s="1872"/>
      <x:c r="P10" s="1872"/>
    </x:row>
    <x:row r="11" ht="28" customHeight="1">
      <x:c r="A11" s="1884" t="n">
        <x:f>'Base e Cálculos'!M236</x:f>
        <x:v>0</x:v>
      </x:c>
      <x:c r="B11" s="1885"/>
      <x:c r="C11" s="1886"/>
      <x:c r="D11" s="1887" t="n">
        <x:f>COUNTIF('Base e Cálculos'!$H$4:$H$235,"&gt;0")</x:f>
        <x:v>0</x:v>
      </x:c>
      <x:c r="E11" s="1888"/>
      <x:c r="F11" s="1889"/>
      <x:c r="G11" s="1887" t="n">
        <x:f>COUNTIF('Base e Cálculos'!$C$4:$C$235,"&lt;&gt;")</x:f>
        <x:v>181</x:v>
      </x:c>
      <x:c r="H11" s="1888"/>
      <x:c r="I11" s="1889"/>
      <x:c r="J11" s="1890" t="str">
        <x:f>IF('Base e Cálculos'!M236=0,"NÃO INICIADA",IF('Base e Cálculos'!M236&lt;0.25,"FASE INICIAL",IF('Base e Cálculos'!M236&lt;0.75,"EM EXECUÇÃO",IF('Base e Cálculos'!M236&lt;1,"FASE FINAL","CONCLUÍDA"))))</x:f>
        <x:v>NÃO INICIADA</x:v>
      </x:c>
      <x:c r="K11" s="1891"/>
      <x:c r="L11" s="1891"/>
      <x:c r="M11" s="1892"/>
      <x:c r="N11" s="1872"/>
      <x:c r="O11" s="1872"/>
      <x:c r="P11" s="1872"/>
    </x:row>
    <x:row r="12" ht="28" customHeight="1">
      <x:c r="A12" s="1893"/>
      <x:c r="B12" s="1894"/>
      <x:c r="C12" s="1895"/>
      <x:c r="D12" s="1896"/>
      <x:c r="E12" s="1897"/>
      <x:c r="F12" s="1898"/>
      <x:c r="G12" s="1896"/>
      <x:c r="H12" s="1897"/>
      <x:c r="I12" s="1898"/>
      <x:c r="J12" s="1899"/>
      <x:c r="K12" s="1900"/>
      <x:c r="L12" s="1900"/>
      <x:c r="M12" s="1901"/>
      <x:c r="N12" s="1872"/>
      <x:c r="O12" s="1872"/>
      <x:c r="P12" s="1872"/>
    </x:row>
    <x:row r="13" ht="28" customHeight="1">
      <x:c r="A13" s="1902"/>
      <x:c r="B13" s="1903"/>
      <x:c r="C13" s="1904"/>
      <x:c r="D13" s="1905"/>
      <x:c r="E13" s="1906"/>
      <x:c r="F13" s="1907"/>
      <x:c r="G13" s="1905"/>
      <x:c r="H13" s="1906"/>
      <x:c r="I13" s="1907"/>
      <x:c r="J13" s="1908"/>
      <x:c r="K13" s="1909"/>
      <x:c r="L13" s="1909"/>
      <x:c r="M13" s="1910"/>
      <x:c r="N13" s="1872"/>
      <x:c r="O13" s="1872"/>
      <x:c r="P13" s="1872"/>
    </x:row>
    <x:row r="14">
      <x:c r="A14" s="1874"/>
      <x:c r="B14" s="1874"/>
      <x:c r="C14" s="1874"/>
      <x:c r="D14" s="1874"/>
      <x:c r="E14" s="1874"/>
      <x:c r="F14" s="1874"/>
      <x:c r="G14" s="1874"/>
      <x:c r="H14" s="1874"/>
      <x:c r="I14" s="1874"/>
      <x:c r="J14" s="1874"/>
      <x:c r="K14" s="1874"/>
      <x:c r="L14" s="1874"/>
      <x:c r="M14" s="1874"/>
      <x:c r="N14" s="1872"/>
      <x:c r="O14" s="1872"/>
      <x:c r="P14" s="1872"/>
    </x:row>
    <x:row r="15" ht="32" customHeight="1">
      <x:c r="A15" s="1219" t="str">
        <x:v>CAMPO DE LANÇAMENTO: informe somente a quantidade executada no período nas células douradas da coluna “Período”.</x:v>
      </x:c>
      <x:c r="B15" s="1220"/>
      <x:c r="C15" s="1220"/>
      <x:c r="D15" s="1220"/>
      <x:c r="E15" s="1220"/>
      <x:c r="F15" s="1220"/>
      <x:c r="G15" s="1220"/>
      <x:c r="H15" s="1220"/>
      <x:c r="I15" s="1220"/>
      <x:c r="J15" s="1220"/>
      <x:c r="K15" s="1220"/>
      <x:c r="L15" s="1220"/>
      <x:c r="M15" s="1221"/>
      <x:c r="N15" s="1872"/>
      <x:c r="O15" s="1872"/>
      <x:c r="P15" s="1872"/>
    </x:row>
    <x:row r="16">
      <x:c r="A16" s="1874"/>
      <x:c r="B16" s="1874"/>
      <x:c r="C16" s="1874"/>
      <x:c r="D16" s="1874"/>
      <x:c r="E16" s="1874"/>
      <x:c r="F16" s="1874"/>
      <x:c r="G16" s="1874"/>
      <x:c r="H16" s="1874"/>
      <x:c r="I16" s="1874"/>
      <x:c r="J16" s="1874"/>
      <x:c r="K16" s="1874"/>
      <x:c r="L16" s="1874"/>
      <x:c r="M16" s="1874"/>
      <x:c r="N16" s="1872"/>
      <x:c r="O16" s="1872"/>
      <x:c r="P16" s="1872"/>
    </x:row>
    <x:row r="17">
      <x:c r="A17" s="1874"/>
      <x:c r="B17" s="1874"/>
      <x:c r="C17" s="1874"/>
      <x:c r="D17" s="1874"/>
      <x:c r="E17" s="1874"/>
      <x:c r="F17" s="1874"/>
      <x:c r="G17" s="1874"/>
      <x:c r="H17" s="1874"/>
      <x:c r="I17" s="1874"/>
      <x:c r="J17" s="1874"/>
      <x:c r="K17" s="1874"/>
      <x:c r="L17" s="1874"/>
      <x:c r="M17" s="1874"/>
      <x:c r="N17" s="1872"/>
      <x:c r="O17" s="1872"/>
      <x:c r="P17" s="1872"/>
    </x:row>
    <x:row r="18" ht="25" customHeight="1">
      <x:c r="A18" s="1911" t="str">
        <x:v>DISTRIBUIÇÃO CONTRATUAL E EXECUÇÃO POR MACROETAPA</x:v>
      </x:c>
      <x:c r="B18" s="1911"/>
      <x:c r="C18" s="1911"/>
      <x:c r="D18" s="1911"/>
      <x:c r="E18" s="1911"/>
      <x:c r="F18" s="1911"/>
      <x:c r="G18" s="1911"/>
      <x:c r="H18" s="1911"/>
      <x:c r="I18" s="1911"/>
      <x:c r="J18" s="1911"/>
      <x:c r="K18" s="1911"/>
      <x:c r="L18" s="1911"/>
      <x:c r="M18" s="1911"/>
      <x:c r="N18" s="1872"/>
      <x:c r="O18" s="1872"/>
      <x:c r="P18" s="1872"/>
    </x:row>
    <x:row r="19">
      <x:c r="A19" s="1874"/>
      <x:c r="B19" s="1874"/>
      <x:c r="C19" s="1874"/>
      <x:c r="D19" s="1874"/>
      <x:c r="E19" s="1874"/>
      <x:c r="F19" s="1874"/>
      <x:c r="G19" s="1874"/>
      <x:c r="H19" s="1874"/>
      <x:c r="I19" s="1874"/>
      <x:c r="J19" s="1874"/>
      <x:c r="K19" s="1874"/>
      <x:c r="L19" s="1874"/>
      <x:c r="M19" s="1874"/>
      <x:c r="N19" s="1872"/>
      <x:c r="O19" s="1872"/>
      <x:c r="P19" s="1872"/>
    </x:row>
    <x:row r="20" ht="26" customHeight="1">
      <x:c r="A20" s="374" t="str">
        <x:v>Código</x:v>
      </x:c>
      <x:c r="B20" s="375" t="str">
        <x:v>Macroetapa</x:v>
      </x:c>
      <x:c r="C20" s="375" t="str">
        <x:v>Valor Contratado</x:v>
      </x:c>
      <x:c r="D20" s="376" t="str">
        <x:v>% Executado</x:v>
      </x:c>
      <x:c r="E20" s="1874"/>
      <x:c r="F20" s="1874"/>
      <x:c r="G20" s="1874"/>
      <x:c r="H20" s="1874"/>
      <x:c r="I20" s="1874"/>
      <x:c r="J20" s="1874"/>
      <x:c r="K20" s="1874"/>
      <x:c r="L20" s="1874"/>
      <x:c r="M20" s="1874"/>
      <x:c r="N20" s="1872"/>
      <x:c r="O20" s="1872"/>
      <x:c r="P20" s="1872"/>
    </x:row>
    <x:row r="21" ht="24" customHeight="1">
      <x:c r="A21" s="1912" t="str">
        <x:v>1.1​</x:v>
      </x:c>
      <x:c r="B21" s="1730" t="str">
        <x:v>ADMINISTRAÇÃO</x:v>
      </x:c>
      <x:c r="C21" s="1913" t="str">
        <x:f>"R$ "&amp;INT(ROUND(O21,2))&amp;","&amp;INT(ROUND((ROUND(O21,2)-INT(ROUND(O21,2)))*100,0)/10)&amp;MOD(ROUND((ROUND(O21,2)-INT(ROUND(O21,2)))*100,0),10)</x:f>
        <x:v>R$ 9456,40</x:v>
      </x:c>
      <x:c r="D21" s="1914" t="n">
        <x:f>IF(O21=0,0,P21/O21)</x:f>
        <x:v>0</x:v>
      </x:c>
      <x:c r="E21" s="1874"/>
      <x:c r="F21" s="1874"/>
      <x:c r="G21" s="1874"/>
      <x:c r="H21" s="1874"/>
      <x:c r="I21" s="1874"/>
      <x:c r="J21" s="1874"/>
      <x:c r="K21" s="1874"/>
      <x:c r="L21" s="1874"/>
      <x:c r="M21" s="1874"/>
      <x:c r="N21" s="1915" t="str">
        <x:v>ADMINISTRAÇÃO</x:v>
      </x:c>
      <x:c r="O21" s="1915" t="n">
        <x:f>ROUND(SUM('Base e Cálculos'!$F$6:$F$7),2)</x:f>
        <x:v>9456.4</x:v>
      </x:c>
      <x:c r="P21" s="1915" t="n">
        <x:f>ROUND(SUM('Base e Cálculos'!$L$6:$L$7),2)</x:f>
        <x:v>0</x:v>
      </x:c>
    </x:row>
    <x:row r="22" ht="24" customHeight="1">
      <x:c r="A22" s="1916" t="str">
        <x:v>1.2​</x:v>
      </x:c>
      <x:c r="B22" s="1740" t="str">
        <x:v>SERVIÇOS INICIAIS</x:v>
      </x:c>
      <x:c r="C22" s="1917" t="str">
        <x:f>"R$ "&amp;INT(ROUND(O22,2))&amp;","&amp;INT(ROUND((ROUND(O22,2)-INT(ROUND(O22,2)))*100,0)/10)&amp;MOD(ROUND((ROUND(O22,2)-INT(ROUND(O22,2)))*100,0),10)</x:f>
        <x:v>R$ 6651,03</x:v>
      </x:c>
      <x:c r="D22" s="1918" t="n">
        <x:f>IF(O22=0,0,P22/O22)</x:f>
        <x:v>0</x:v>
      </x:c>
      <x:c r="E22" s="1874"/>
      <x:c r="F22" s="1874"/>
      <x:c r="G22" s="1874"/>
      <x:c r="H22" s="1874"/>
      <x:c r="I22" s="1874"/>
      <x:c r="J22" s="1874"/>
      <x:c r="K22" s="1874"/>
      <x:c r="L22" s="1874"/>
      <x:c r="M22" s="1874"/>
      <x:c r="N22" s="1915" t="str">
        <x:v>SERVIÇOS INICIAIS</x:v>
      </x:c>
      <x:c r="O22" s="1915" t="n">
        <x:f>ROUND(SUM('Base e Cálculos'!$F$9:$F$15),2)</x:f>
        <x:v>6651.03</x:v>
      </x:c>
      <x:c r="P22" s="1915" t="n">
        <x:f>ROUND(SUM('Base e Cálculos'!$L$9:$L$15),2)</x:f>
        <x:v>0</x:v>
      </x:c>
    </x:row>
    <x:row r="23" ht="24" customHeight="1">
      <x:c r="A23" s="1912" t="str">
        <x:v>1.3​</x:v>
      </x:c>
      <x:c r="B23" s="1730" t="str">
        <x:v>ALVENARIAS</x:v>
      </x:c>
      <x:c r="C23" s="1913" t="str">
        <x:f>"R$ "&amp;INT(ROUND(O23,2))&amp;","&amp;INT(ROUND((ROUND(O23,2)-INT(ROUND(O23,2)))*100,0)/10)&amp;MOD(ROUND((ROUND(O23,2)-INT(ROUND(O23,2)))*100,0),10)</x:f>
        <x:v>R$ 6239,79</x:v>
      </x:c>
      <x:c r="D23" s="1914" t="n">
        <x:f>IF(O23=0,0,P23/O23)</x:f>
        <x:v>0</x:v>
      </x:c>
      <x:c r="E23" s="1874"/>
      <x:c r="F23" s="1874"/>
      <x:c r="G23" s="1874"/>
      <x:c r="H23" s="1874"/>
      <x:c r="I23" s="1874"/>
      <x:c r="J23" s="1874"/>
      <x:c r="K23" s="1874"/>
      <x:c r="L23" s="1874"/>
      <x:c r="M23" s="1874"/>
      <x:c r="N23" s="1915" t="str">
        <x:v>ALVENARIAS</x:v>
      </x:c>
      <x:c r="O23" s="1915" t="n">
        <x:f>ROUND(SUM('Base e Cálculos'!$F$17:$F$34),2)</x:f>
        <x:v>6239.79</x:v>
      </x:c>
      <x:c r="P23" s="1915" t="n">
        <x:f>ROUND(SUM('Base e Cálculos'!$L$17:$L$34),2)</x:f>
        <x:v>0</x:v>
      </x:c>
    </x:row>
    <x:row r="24" ht="24" customHeight="1">
      <x:c r="A24" s="1916" t="str">
        <x:v>1.4​</x:v>
      </x:c>
      <x:c r="B24" s="1740" t="str">
        <x:v>AZULEJOS</x:v>
      </x:c>
      <x:c r="C24" s="1917" t="str">
        <x:f>"R$ "&amp;INT(ROUND(O24,2))&amp;","&amp;INT(ROUND((ROUND(O24,2)-INT(ROUND(O24,2)))*100,0)/10)&amp;MOD(ROUND((ROUND(O24,2)-INT(ROUND(O24,2)))*100,0),10)</x:f>
        <x:v>R$ 6444,85</x:v>
      </x:c>
      <x:c r="D24" s="1918" t="n">
        <x:f>IF(O24=0,0,P24/O24)</x:f>
        <x:v>0</x:v>
      </x:c>
      <x:c r="E24" s="1874"/>
      <x:c r="F24" s="1874"/>
      <x:c r="G24" s="1874"/>
      <x:c r="H24" s="1874"/>
      <x:c r="I24" s="1874"/>
      <x:c r="J24" s="1874"/>
      <x:c r="K24" s="1874"/>
      <x:c r="L24" s="1874"/>
      <x:c r="M24" s="1874"/>
      <x:c r="N24" s="1915" t="str">
        <x:v>AZULEJOS</x:v>
      </x:c>
      <x:c r="O24" s="1915" t="n">
        <x:f>ROUND(SUM('Base e Cálculos'!$F$36:$F$38),2)</x:f>
        <x:v>6444.85</x:v>
      </x:c>
      <x:c r="P24" s="1915" t="n">
        <x:f>ROUND(SUM('Base e Cálculos'!$L$36:$L$38),2)</x:f>
        <x:v>0</x:v>
      </x:c>
    </x:row>
    <x:row r="25" ht="31" customHeight="1">
      <x:c r="A25" s="1912" t="str">
        <x:v>1.5​</x:v>
      </x:c>
      <x:c r="B25" s="1730" t="str">
        <x:v>CONTRAPISO/PISO PREDIO 01 ( MAIOR ÁREA )</x:v>
      </x:c>
      <x:c r="C25" s="1913" t="str">
        <x:f>"R$ "&amp;INT(ROUND(O25,2))&amp;","&amp;INT(ROUND((ROUND(O25,2)-INT(ROUND(O25,2)))*100,0)/10)&amp;MOD(ROUND((ROUND(O25,2)-INT(ROUND(O25,2)))*100,0),10)</x:f>
        <x:v>R$ 8783,92</x:v>
      </x:c>
      <x:c r="D25" s="1914" t="n">
        <x:f>IF(O25=0,0,P25/O25)</x:f>
        <x:v>0</x:v>
      </x:c>
      <x:c r="E25" s="1874"/>
      <x:c r="F25" s="1874"/>
      <x:c r="G25" s="1874"/>
      <x:c r="H25" s="1874"/>
      <x:c r="I25" s="1874"/>
      <x:c r="J25" s="1874"/>
      <x:c r="K25" s="1874"/>
      <x:c r="L25" s="1874"/>
      <x:c r="M25" s="1874"/>
      <x:c r="N25" s="1915" t="str">
        <x:v>PISOS / CONTRAPISO</x:v>
      </x:c>
      <x:c r="O25" s="1915" t="n">
        <x:f>ROUND(SUM('Base e Cálculos'!$F$40:$F$46),2)</x:f>
        <x:v>8783.92</x:v>
      </x:c>
      <x:c r="P25" s="1915" t="n">
        <x:f>ROUND(SUM('Base e Cálculos'!$L$40:$L$46),2)</x:f>
        <x:v>0</x:v>
      </x:c>
    </x:row>
    <x:row r="26" ht="24" customHeight="1">
      <x:c r="A26" s="1916" t="str">
        <x:v>1.6​</x:v>
      </x:c>
      <x:c r="B26" s="1740" t="str">
        <x:v>FORRO PVC</x:v>
      </x:c>
      <x:c r="C26" s="1917" t="str">
        <x:f>"R$ "&amp;INT(ROUND(O26,2))&amp;","&amp;INT(ROUND((ROUND(O26,2)-INT(ROUND(O26,2)))*100,0)/10)&amp;MOD(ROUND((ROUND(O26,2)-INT(ROUND(O26,2)))*100,0),10)</x:f>
        <x:v>R$ 11308,09</x:v>
      </x:c>
      <x:c r="D26" s="1918" t="n">
        <x:f>IF(O26=0,0,P26/O26)</x:f>
        <x:v>0</x:v>
      </x:c>
      <x:c r="E26" s="1874"/>
      <x:c r="F26" s="1874"/>
      <x:c r="G26" s="1874"/>
      <x:c r="H26" s="1874"/>
      <x:c r="I26" s="1874"/>
      <x:c r="J26" s="1874"/>
      <x:c r="K26" s="1874"/>
      <x:c r="L26" s="1874"/>
      <x:c r="M26" s="1874"/>
      <x:c r="N26" s="1915" t="str">
        <x:v>FORRO PVC</x:v>
      </x:c>
      <x:c r="O26" s="1915" t="n">
        <x:f>ROUND(SUM('Base e Cálculos'!$F$48:$F$57),2)</x:f>
        <x:v>11308.09</x:v>
      </x:c>
      <x:c r="P26" s="1915" t="n">
        <x:f>ROUND(SUM('Base e Cálculos'!$L$48:$L$57),2)</x:f>
        <x:v>0</x:v>
      </x:c>
    </x:row>
    <x:row r="27" ht="24" customHeight="1">
      <x:c r="A27" s="1912" t="str">
        <x:v>1.7​</x:v>
      </x:c>
      <x:c r="B27" s="1730" t="str">
        <x:v>DIVISORIAS EM GESSO</x:v>
      </x:c>
      <x:c r="C27" s="1913" t="str">
        <x:f>"R$ "&amp;INT(ROUND(O27,2))&amp;","&amp;INT(ROUND((ROUND(O27,2)-INT(ROUND(O27,2)))*100,0)/10)&amp;MOD(ROUND((ROUND(O27,2)-INT(ROUND(O27,2)))*100,0),10)</x:f>
        <x:v>R$ 18415,80</x:v>
      </x:c>
      <x:c r="D27" s="1914" t="n">
        <x:f>IF(O27=0,0,P27/O27)</x:f>
        <x:v>0</x:v>
      </x:c>
      <x:c r="E27" s="1874"/>
      <x:c r="F27" s="1874"/>
      <x:c r="G27" s="1874"/>
      <x:c r="H27" s="1874"/>
      <x:c r="I27" s="1874"/>
      <x:c r="J27" s="1874"/>
      <x:c r="K27" s="1874"/>
      <x:c r="L27" s="1874"/>
      <x:c r="M27" s="1874"/>
      <x:c r="N27" s="1915" t="str">
        <x:v>DIVISÓRIAS EM GESSO</x:v>
      </x:c>
      <x:c r="O27" s="1915" t="n">
        <x:f>ROUND(SUM('Base e Cálculos'!$F$59:$F$60),2)</x:f>
        <x:v>18415.8</x:v>
      </x:c>
      <x:c r="P27" s="1915" t="n">
        <x:f>ROUND(SUM('Base e Cálculos'!$L$59:$L$60),2)</x:f>
        <x:v>0</x:v>
      </x:c>
    </x:row>
    <x:row r="28" ht="24" customHeight="1">
      <x:c r="A28" s="1916" t="str">
        <x:v>1.8​</x:v>
      </x:c>
      <x:c r="B28" s="1740" t="str">
        <x:v>ABERTURAS</x:v>
      </x:c>
      <x:c r="C28" s="1917" t="str">
        <x:f>"R$ "&amp;INT(ROUND(O28,2))&amp;","&amp;INT(ROUND((ROUND(O28,2)-INT(ROUND(O28,2)))*100,0)/10)&amp;MOD(ROUND((ROUND(O28,2)-INT(ROUND(O28,2)))*100,0),10)</x:f>
        <x:v>R$ 23456,08</x:v>
      </x:c>
      <x:c r="D28" s="1918" t="n">
        <x:f>IF(O28=0,0,P28/O28)</x:f>
        <x:v>0</x:v>
      </x:c>
      <x:c r="E28" s="1874"/>
      <x:c r="F28" s="1874"/>
      <x:c r="G28" s="1874"/>
      <x:c r="H28" s="1874"/>
      <x:c r="I28" s="1874"/>
      <x:c r="J28" s="1874"/>
      <x:c r="K28" s="1874"/>
      <x:c r="L28" s="1874"/>
      <x:c r="M28" s="1874"/>
      <x:c r="N28" s="1915" t="str">
        <x:v>ABERTURAS</x:v>
      </x:c>
      <x:c r="O28" s="1915" t="n">
        <x:f>ROUND(SUM('Base e Cálculos'!$F$62:$F$68),2)</x:f>
        <x:v>23456.08</x:v>
      </x:c>
      <x:c r="P28" s="1915" t="n">
        <x:f>ROUND(SUM('Base e Cálculos'!$L$62:$L$68),2)</x:f>
        <x:v>0</x:v>
      </x:c>
    </x:row>
    <x:row r="29" ht="24" customHeight="1">
      <x:c r="A29" s="1912" t="str">
        <x:v>1.9​</x:v>
      </x:c>
      <x:c r="B29" s="1730" t="str">
        <x:v>PINTURA INTERNA</x:v>
      </x:c>
      <x:c r="C29" s="1913" t="str">
        <x:f>"R$ "&amp;INT(ROUND(O29,2))&amp;","&amp;INT(ROUND((ROUND(O29,2)-INT(ROUND(O29,2)))*100,0)/10)&amp;MOD(ROUND((ROUND(O29,2)-INT(ROUND(O29,2)))*100,0),10)</x:f>
        <x:v>R$ 21009,30</x:v>
      </x:c>
      <x:c r="D29" s="1914" t="n">
        <x:f>IF(O29=0,0,P29/O29)</x:f>
        <x:v>0</x:v>
      </x:c>
      <x:c r="E29" s="1874"/>
      <x:c r="F29" s="1874"/>
      <x:c r="G29" s="1874"/>
      <x:c r="H29" s="1874"/>
      <x:c r="I29" s="1874"/>
      <x:c r="J29" s="1874"/>
      <x:c r="K29" s="1874"/>
      <x:c r="L29" s="1874"/>
      <x:c r="M29" s="1874"/>
      <x:c r="N29" s="1915" t="str">
        <x:v>PINTURA INTERNA</x:v>
      </x:c>
      <x:c r="O29" s="1915" t="n">
        <x:f>ROUND(SUM('Base e Cálculos'!$F$70:$F$76),2)</x:f>
        <x:v>21009.3</x:v>
      </x:c>
      <x:c r="P29" s="1915" t="n">
        <x:f>ROUND(SUM('Base e Cálculos'!$L$70:$L$76),2)</x:f>
        <x:v>0</x:v>
      </x:c>
    </x:row>
    <x:row r="30" ht="24" customHeight="1">
      <x:c r="A30" s="1916" t="str">
        <x:v>1.10​</x:v>
      </x:c>
      <x:c r="B30" s="1740" t="str">
        <x:v>PINTURA EXTERNA</x:v>
      </x:c>
      <x:c r="C30" s="1917" t="str">
        <x:f>"R$ "&amp;INT(ROUND(O30,2))&amp;","&amp;INT(ROUND((ROUND(O30,2)-INT(ROUND(O30,2)))*100,0)/10)&amp;MOD(ROUND((ROUND(O30,2)-INT(ROUND(O30,2)))*100,0),10)</x:f>
        <x:v>R$ 9666,47</x:v>
      </x:c>
      <x:c r="D30" s="1918" t="n">
        <x:f>IF(O30=0,0,P30/O30)</x:f>
        <x:v>0</x:v>
      </x:c>
      <x:c r="E30" s="1874"/>
      <x:c r="F30" s="1874"/>
      <x:c r="G30" s="1874"/>
      <x:c r="H30" s="1874"/>
      <x:c r="I30" s="1874"/>
      <x:c r="J30" s="1874"/>
      <x:c r="K30" s="1874"/>
      <x:c r="L30" s="1874"/>
      <x:c r="M30" s="1874"/>
      <x:c r="N30" s="1915" t="str">
        <x:v>PINTURA EXTERNA</x:v>
      </x:c>
      <x:c r="O30" s="1915" t="n">
        <x:f>ROUND(SUM('Base e Cálculos'!$F$78:$F$81),2)</x:f>
        <x:v>9666.47</x:v>
      </x:c>
      <x:c r="P30" s="1915" t="n">
        <x:f>ROUND(SUM('Base e Cálculos'!$L$78:$L$81),2)</x:f>
        <x:v>0</x:v>
      </x:c>
    </x:row>
    <x:row r="31" ht="24" customHeight="1">
      <x:c r="A31" s="1912" t="str">
        <x:v>1.11​</x:v>
      </x:c>
      <x:c r="B31" s="1730" t="str">
        <x:v>TELHAMENTO</x:v>
      </x:c>
      <x:c r="C31" s="1913" t="str">
        <x:f>"R$ "&amp;INT(ROUND(O31,2))&amp;","&amp;INT(ROUND((ROUND(O31,2)-INT(ROUND(O31,2)))*100,0)/10)&amp;MOD(ROUND((ROUND(O31,2)-INT(ROUND(O31,2)))*100,0),10)</x:f>
        <x:v>R$ 28348,45</x:v>
      </x:c>
      <x:c r="D31" s="1914" t="n">
        <x:f>IF(O31=0,0,P31/O31)</x:f>
        <x:v>0</x:v>
      </x:c>
      <x:c r="E31" s="1874"/>
      <x:c r="F31" s="1874"/>
      <x:c r="G31" s="1874"/>
      <x:c r="H31" s="1874"/>
      <x:c r="I31" s="1874"/>
      <x:c r="J31" s="1874"/>
      <x:c r="K31" s="1874"/>
      <x:c r="L31" s="1874"/>
      <x:c r="M31" s="1874"/>
      <x:c r="N31" s="1915" t="str">
        <x:v>TELHAMENTO</x:v>
      </x:c>
      <x:c r="O31" s="1915" t="n">
        <x:f>ROUND(SUM('Base e Cálculos'!$F$83:$F$87),2)</x:f>
        <x:v>28348.45</x:v>
      </x:c>
      <x:c r="P31" s="1915" t="n">
        <x:f>ROUND(SUM('Base e Cálculos'!$L$83:$L$87),2)</x:f>
        <x:v>0</x:v>
      </x:c>
    </x:row>
    <x:row r="32" ht="24" customHeight="1">
      <x:c r="A32" s="1916" t="str">
        <x:v>1.12​</x:v>
      </x:c>
      <x:c r="B32" s="1740" t="str">
        <x:v>INSTALAÇÕES ELÉTRICAS</x:v>
      </x:c>
      <x:c r="C32" s="1917" t="str">
        <x:f>"R$ "&amp;INT(ROUND(O32,2))&amp;","&amp;INT(ROUND((ROUND(O32,2)-INT(ROUND(O32,2)))*100,0)/10)&amp;MOD(ROUND((ROUND(O32,2)-INT(ROUND(O32,2)))*100,0),10)</x:f>
        <x:v>R$ 46953,65</x:v>
      </x:c>
      <x:c r="D32" s="1918" t="n">
        <x:f>IF(O32=0,0,P32/O32)</x:f>
        <x:v>0</x:v>
      </x:c>
      <x:c r="E32" s="1874"/>
      <x:c r="F32" s="1874"/>
      <x:c r="G32" s="1874"/>
      <x:c r="H32" s="1874"/>
      <x:c r="I32" s="1874"/>
      <x:c r="J32" s="1874"/>
      <x:c r="K32" s="1874"/>
      <x:c r="L32" s="1874"/>
      <x:c r="M32" s="1874"/>
      <x:c r="N32" s="1915" t="str">
        <x:v>INSTALAÇÕES ELÉTRICAS</x:v>
      </x:c>
      <x:c r="O32" s="1915" t="n">
        <x:f>ROUND(SUM('Base e Cálculos'!$F$89:$F$140),2)</x:f>
        <x:v>46953.65</x:v>
      </x:c>
      <x:c r="P32" s="1915" t="n">
        <x:f>ROUND(SUM('Base e Cálculos'!$L$89:$L$140),2)</x:f>
        <x:v>0</x:v>
      </x:c>
    </x:row>
    <x:row r="33" ht="24" customHeight="1">
      <x:c r="A33" s="1912" t="str">
        <x:v>1.13​</x:v>
      </x:c>
      <x:c r="B33" s="1730" t="str">
        <x:v>INSTALAÇÕES HIDROSANITÁRIAS</x:v>
      </x:c>
      <x:c r="C33" s="1913" t="str">
        <x:f>"R$ "&amp;INT(ROUND(O33,2))&amp;","&amp;INT(ROUND((ROUND(O33,2)-INT(ROUND(O33,2)))*100,0)/10)&amp;MOD(ROUND((ROUND(O33,2)-INT(ROUND(O33,2)))*100,0),10)</x:f>
        <x:v>R$ 26624,39</x:v>
      </x:c>
      <x:c r="D33" s="1914" t="n">
        <x:f>IF(O33=0,0,P33/O33)</x:f>
        <x:v>0</x:v>
      </x:c>
      <x:c r="E33" s="1874"/>
      <x:c r="F33" s="1874"/>
      <x:c r="G33" s="1874"/>
      <x:c r="H33" s="1874"/>
      <x:c r="I33" s="1874"/>
      <x:c r="J33" s="1874"/>
      <x:c r="K33" s="1874"/>
      <x:c r="L33" s="1874"/>
      <x:c r="M33" s="1874"/>
      <x:c r="N33" s="1915" t="str">
        <x:v>HIDROSSANITÁRIAS</x:v>
      </x:c>
      <x:c r="O33" s="1915" t="n">
        <x:f>ROUND(SUM('Base e Cálculos'!$F$142:$F$204),2)</x:f>
        <x:v>26624.39</x:v>
      </x:c>
      <x:c r="P33" s="1915" t="n">
        <x:f>ROUND(SUM('Base e Cálculos'!$L$142:$L$204),2)</x:f>
        <x:v>0</x:v>
      </x:c>
    </x:row>
    <x:row r="34" ht="31" customHeight="1">
      <x:c r="A34" s="1916" t="str">
        <x:v>1.14​</x:v>
      </x:c>
      <x:c r="B34" s="1740" t="str">
        <x:v>CALCULO ESTRUTURAL BANHEIROS ( PREDIO ÁREA MAIOR )</x:v>
      </x:c>
      <x:c r="C34" s="1917" t="str">
        <x:f>"R$ "&amp;INT(ROUND(O34,2))&amp;","&amp;INT(ROUND((ROUND(O34,2)-INT(ROUND(O34,2)))*100,0)/10)&amp;MOD(ROUND((ROUND(O34,2)-INT(ROUND(O34,2)))*100,0),10)</x:f>
        <x:v>R$ 8791,43</x:v>
      </x:c>
      <x:c r="D34" s="1918" t="n">
        <x:f>IF(O34=0,0,P34/O34)</x:f>
        <x:v>0</x:v>
      </x:c>
      <x:c r="E34" s="1874"/>
      <x:c r="F34" s="1874"/>
      <x:c r="G34" s="1874"/>
      <x:c r="H34" s="1874"/>
      <x:c r="I34" s="1874"/>
      <x:c r="J34" s="1874"/>
      <x:c r="K34" s="1874"/>
      <x:c r="L34" s="1874"/>
      <x:c r="M34" s="1874"/>
      <x:c r="N34" s="1915" t="str">
        <x:v>ESTRUTURA BANHEIROS</x:v>
      </x:c>
      <x:c r="O34" s="1915" t="n">
        <x:f>ROUND(SUM('Base e Cálculos'!$F$206:$F$229),2)</x:f>
        <x:v>8791.43</x:v>
      </x:c>
      <x:c r="P34" s="1915" t="n">
        <x:f>ROUND(SUM('Base e Cálculos'!$L$206:$L$229),2)</x:f>
        <x:v>0</x:v>
      </x:c>
    </x:row>
    <x:row r="35" ht="24" customHeight="1">
      <x:c r="A35" s="1912" t="str">
        <x:v>1.15​</x:v>
      </x:c>
      <x:c r="B35" s="1730" t="str">
        <x:v>PPCI</x:v>
      </x:c>
      <x:c r="C35" s="1913" t="str">
        <x:f>"R$ "&amp;INT(ROUND(O35,2))&amp;","&amp;INT(ROUND((ROUND(O35,2)-INT(ROUND(O35,2)))*100,0)/10)&amp;MOD(ROUND((ROUND(O35,2)-INT(ROUND(O35,2)))*100,0),10)</x:f>
        <x:v>R$ 4801,35</x:v>
      </x:c>
      <x:c r="D35" s="1914" t="n">
        <x:f>IF(O35=0,0,P35/O35)</x:f>
        <x:v>0</x:v>
      </x:c>
      <x:c r="E35" s="1874"/>
      <x:c r="F35" s="1874"/>
      <x:c r="G35" s="1874"/>
      <x:c r="H35" s="1874"/>
      <x:c r="I35" s="1874"/>
      <x:c r="J35" s="1874"/>
      <x:c r="K35" s="1874"/>
      <x:c r="L35" s="1874"/>
      <x:c r="M35" s="1874"/>
      <x:c r="N35" s="1915" t="str">
        <x:v>PPCI</x:v>
      </x:c>
      <x:c r="O35" s="1915" t="n">
        <x:f>ROUND(SUM('Base e Cálculos'!$F$231:$F$235),2)</x:f>
        <x:v>4801.35</x:v>
      </x:c>
      <x:c r="P35" s="1915" t="n">
        <x:f>ROUND(SUM('Base e Cálculos'!$L$231:$L$235),2)</x:f>
        <x:v>0</x:v>
      </x:c>
    </x:row>
    <x:row r="36">
      <x:c r="A36" s="1874"/>
      <x:c r="B36" s="1874"/>
      <x:c r="C36" s="1874"/>
      <x:c r="D36" s="1874"/>
      <x:c r="E36" s="1874"/>
      <x:c r="F36" s="1874"/>
      <x:c r="G36" s="1874"/>
      <x:c r="H36" s="1874"/>
      <x:c r="I36" s="1874"/>
      <x:c r="J36" s="1874"/>
      <x:c r="K36" s="1874"/>
      <x:c r="L36" s="1874"/>
      <x:c r="M36" s="1874"/>
      <x:c r="N36" s="1872"/>
      <x:c r="O36" s="1872"/>
      <x:c r="P36" s="1872"/>
    </x:row>
    <x:row r="37">
      <x:c r="A37" s="1874"/>
      <x:c r="B37" s="1874"/>
      <x:c r="C37" s="1874"/>
      <x:c r="D37" s="1874"/>
      <x:c r="E37" s="1874"/>
      <x:c r="F37" s="1874"/>
      <x:c r="G37" s="1874"/>
      <x:c r="H37" s="1874"/>
      <x:c r="I37" s="1874"/>
      <x:c r="J37" s="1874"/>
      <x:c r="K37" s="1874"/>
      <x:c r="L37" s="1874"/>
      <x:c r="M37" s="1874"/>
      <x:c r="N37" s="1872"/>
      <x:c r="O37" s="1872"/>
      <x:c r="P37" s="1872"/>
    </x:row>
    <x:row r="38">
      <x:c r="A38" s="1874"/>
      <x:c r="B38" s="1874"/>
      <x:c r="C38" s="1874"/>
      <x:c r="D38" s="1874"/>
      <x:c r="E38" s="1874"/>
      <x:c r="F38" s="1874"/>
      <x:c r="G38" s="1874"/>
      <x:c r="H38" s="1874"/>
      <x:c r="I38" s="1874"/>
      <x:c r="J38" s="1874"/>
      <x:c r="K38" s="1874"/>
      <x:c r="L38" s="1874"/>
      <x:c r="M38" s="1874"/>
      <x:c r="N38" s="1872"/>
      <x:c r="O38" s="1872"/>
      <x:c r="P38" s="1872"/>
    </x:row>
    <x:row r="39">
      <x:c r="A39" s="1874"/>
      <x:c r="B39" s="1874"/>
      <x:c r="C39" s="1874"/>
      <x:c r="D39" s="1874"/>
      <x:c r="E39" s="1874"/>
      <x:c r="F39" s="1874"/>
      <x:c r="G39" s="1874"/>
      <x:c r="H39" s="1874"/>
      <x:c r="I39" s="1874"/>
      <x:c r="J39" s="1874"/>
      <x:c r="K39" s="1874"/>
      <x:c r="L39" s="1874"/>
      <x:c r="M39" s="1874"/>
      <x:c r="N39" s="1872"/>
      <x:c r="O39" s="1872"/>
      <x:c r="P39" s="1872"/>
    </x:row>
    <x:row r="40">
      <x:c r="A40" s="1874"/>
      <x:c r="B40" s="1874"/>
      <x:c r="C40" s="1874"/>
      <x:c r="D40" s="1874"/>
      <x:c r="E40" s="1874"/>
      <x:c r="F40" s="1874"/>
      <x:c r="G40" s="1874"/>
      <x:c r="H40" s="1874"/>
      <x:c r="I40" s="1874"/>
      <x:c r="J40" s="1874"/>
      <x:c r="K40" s="1874"/>
      <x:c r="L40" s="1874"/>
      <x:c r="M40" s="1874"/>
      <x:c r="N40" s="1872"/>
      <x:c r="O40" s="1872"/>
      <x:c r="P40" s="1872"/>
    </x:row>
    <x:row r="41" ht="28" customHeight="1">
      <x:c r="A41" s="1309" t="str">
        <x:v>Painel vinculado às fórmulas da aba “Base e Cálculos”. Os valores são atualizados automaticamente quando a medição do período é lançada.</x:v>
      </x:c>
      <x:c r="B41" s="1310"/>
      <x:c r="C41" s="1310"/>
      <x:c r="D41" s="1310"/>
      <x:c r="E41" s="1310"/>
      <x:c r="F41" s="1310"/>
      <x:c r="G41" s="1310"/>
      <x:c r="H41" s="1310"/>
      <x:c r="I41" s="1310"/>
      <x:c r="J41" s="1310"/>
      <x:c r="K41" s="1310"/>
      <x:c r="L41" s="1310"/>
      <x:c r="M41" s="1311"/>
      <x:c r="N41" s="1872"/>
      <x:c r="O41" s="1872"/>
      <x:c r="P41" s="1872"/>
    </x:row>
    <x:row r="42" ht="20" customHeight="1">
      <x:c r="A42" s="1312"/>
      <x:c r="B42" s="1313"/>
      <x:c r="C42" s="1313"/>
      <x:c r="D42" s="1313"/>
      <x:c r="E42" s="1313"/>
      <x:c r="F42" s="1313"/>
      <x:c r="G42" s="1313"/>
      <x:c r="H42" s="1313"/>
      <x:c r="I42" s="1313"/>
      <x:c r="J42" s="1313"/>
      <x:c r="K42" s="1313"/>
      <x:c r="L42" s="1313"/>
      <x:c r="M42" s="1314"/>
      <x:c r="N42" s="1872"/>
      <x:c r="O42" s="1872"/>
      <x:c r="P42" s="1872"/>
    </x:row>
    <x:row r="43">
      <x:c r="A43" s="898"/>
      <x:c r="B43" s="898"/>
      <x:c r="C43" s="898"/>
      <x:c r="D43" s="898"/>
      <x:c r="E43" s="898"/>
      <x:c r="F43" s="898"/>
      <x:c r="G43" s="898"/>
      <x:c r="H43" s="898"/>
      <x:c r="I43" s="898"/>
      <x:c r="J43" s="898"/>
      <x:c r="K43" s="898"/>
      <x:c r="L43" s="898"/>
      <x:c r="M43" s="898"/>
    </x:row>
    <x:row r="44">
      <x:c r="A44" s="898"/>
      <x:c r="B44" s="898"/>
      <x:c r="C44" s="898"/>
      <x:c r="D44" s="898"/>
      <x:c r="E44" s="898"/>
      <x:c r="F44" s="898"/>
      <x:c r="G44" s="898"/>
      <x:c r="H44" s="898"/>
      <x:c r="I44" s="898"/>
      <x:c r="J44" s="898"/>
      <x:c r="K44" s="898"/>
      <x:c r="L44" s="898"/>
      <x:c r="M44" s="898"/>
    </x:row>
    <x:row r="45">
      <x:c r="A45" s="898"/>
      <x:c r="B45" s="898"/>
      <x:c r="C45" s="898"/>
      <x:c r="D45" s="898"/>
      <x:c r="E45" s="898"/>
      <x:c r="F45" s="898"/>
      <x:c r="G45" s="898"/>
      <x:c r="H45" s="898"/>
      <x:c r="I45" s="898"/>
      <x:c r="J45" s="898"/>
      <x:c r="K45" s="898"/>
      <x:c r="L45" s="898"/>
      <x:c r="M45" s="898"/>
    </x:row>
  </x:sheetData>
  <x:mergeCells>
    <x:mergeCell ref="A1:M2"/>
    <x:mergeCell ref="A3:M3"/>
    <x:mergeCell ref="A5:C5"/>
    <x:mergeCell ref="A6:C8"/>
    <x:mergeCell ref="D5:F5"/>
    <x:mergeCell ref="D6:F8"/>
    <x:mergeCell ref="G5:I5"/>
    <x:mergeCell ref="G6:I8"/>
    <x:mergeCell ref="J5:M5"/>
    <x:mergeCell ref="J6:M8"/>
    <x:mergeCell ref="A10:C10"/>
    <x:mergeCell ref="A11:C13"/>
    <x:mergeCell ref="D10:F10"/>
    <x:mergeCell ref="D11:F13"/>
    <x:mergeCell ref="G10:I10"/>
    <x:mergeCell ref="G11:I13"/>
    <x:mergeCell ref="J10:M10"/>
    <x:mergeCell ref="J11:M13"/>
    <x:mergeCell ref="A15:M15"/>
    <x:mergeCell ref="A18:M18"/>
    <x:mergeCell ref="A41:M42"/>
  </x:mergeCells>
  <x:conditionalFormatting sqref="D21:D35">
    <x:cfRule type="dataBar" priority="1">
      <x:dataBar>
        <x:cfvo type="min"/>
        <x:cfvo type="max"/>
        <x:color rgb="FF2F7D5A"/>
      </x:dataBar>
      <x:extLst>
        <x:ext xmlns:x14="http://schemas.microsoft.com/office/spreadsheetml/2009/9/main" uri="{B025F937-C7B1-47D3-B67F-A62EFF666E3E}">
          <x14:id>{A6BEF255-17E0-8C05-83F2-9CB71F3D30B9}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b31b5414cb74c5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6BEF255-17E0-8C05-83F2-9CB71F3D30B9}">
            <x14:dataBar gradient="1">
              <x14:cfvo type="min"/>
              <x14:cfvo type="max"/>
              <x14:fillColor rgb="FF2F7D5A"/>
            </x14:dataBar>
          </x14:cfRule>
          <xm:sqref>D21:D35</xm:sqref>
        </x14:conditionalFormatting>
      </x14:conditionalFormattings>
    </x:ext>
  </x:extLst>
</x:worksheet>
</file>